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45A45E6-5ED0-40BC-9346-9C36B33B603A}" xr6:coauthVersionLast="47" xr6:coauthVersionMax="47" xr10:uidLastSave="{00000000-0000-0000-0000-000000000000}"/>
  <bookViews>
    <workbookView xWindow="-120" yWindow="-120" windowWidth="20730" windowHeight="11160" tabRatio="500" firstSheet="9" activeTab="7" xr2:uid="{00000000-000D-0000-FFFF-FFFF00000000}"/>
  </bookViews>
  <sheets>
    <sheet name="Incident_Data" sheetId="2" r:id="rId1"/>
    <sheet name="Data_Dictionary" sheetId="3" r:id="rId2"/>
    <sheet name="Analysis_Template" sheetId="4" r:id="rId3"/>
    <sheet name="Core Analysis" sheetId="5" r:id="rId4"/>
    <sheet name="SLA_Analysis" sheetId="6" r:id="rId5"/>
    <sheet name="Regulatory_Exposure" sheetId="7" r:id="rId6"/>
    <sheet name="Third_Party" sheetId="8" r:id="rId7"/>
    <sheet name="Control_Domain" sheetId="9" r:id="rId8"/>
    <sheet name="CISO_Board_Insights" sheetId="10" r:id="rId9"/>
    <sheet name="Charts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9" l="1"/>
  <c r="B25" i="9"/>
  <c r="B24" i="9"/>
  <c r="B23" i="9"/>
  <c r="B22" i="9"/>
  <c r="B21" i="9"/>
  <c r="B27" i="9" s="1"/>
  <c r="J17" i="9"/>
  <c r="J16" i="9"/>
  <c r="G16" i="9"/>
  <c r="F16" i="9"/>
  <c r="E16" i="9"/>
  <c r="D16" i="9"/>
  <c r="B16" i="9"/>
  <c r="J15" i="9"/>
  <c r="G15" i="9"/>
  <c r="F15" i="9"/>
  <c r="E15" i="9"/>
  <c r="D15" i="9"/>
  <c r="B15" i="9"/>
  <c r="J14" i="9"/>
  <c r="G14" i="9"/>
  <c r="F14" i="9"/>
  <c r="I14" i="9" s="1"/>
  <c r="E14" i="9"/>
  <c r="D14" i="9"/>
  <c r="B14" i="9"/>
  <c r="H14" i="9" s="1"/>
  <c r="J13" i="9"/>
  <c r="G13" i="9"/>
  <c r="F13" i="9"/>
  <c r="I13" i="9" s="1"/>
  <c r="E13" i="9"/>
  <c r="D13" i="9"/>
  <c r="B13" i="9"/>
  <c r="J12" i="9"/>
  <c r="G12" i="9"/>
  <c r="F12" i="9"/>
  <c r="E12" i="9"/>
  <c r="D12" i="9"/>
  <c r="B12" i="9"/>
  <c r="J11" i="9"/>
  <c r="G11" i="9"/>
  <c r="F11" i="9"/>
  <c r="E11" i="9"/>
  <c r="D11" i="9"/>
  <c r="B11" i="9"/>
  <c r="J10" i="9"/>
  <c r="G10" i="9"/>
  <c r="F10" i="9"/>
  <c r="I10" i="9" s="1"/>
  <c r="E10" i="9"/>
  <c r="D10" i="9"/>
  <c r="B10" i="9"/>
  <c r="H10" i="9" s="1"/>
  <c r="J9" i="9"/>
  <c r="G9" i="9"/>
  <c r="F9" i="9"/>
  <c r="I9" i="9" s="1"/>
  <c r="E9" i="9"/>
  <c r="D9" i="9"/>
  <c r="B9" i="9"/>
  <c r="J8" i="9"/>
  <c r="G8" i="9"/>
  <c r="F8" i="9"/>
  <c r="E8" i="9"/>
  <c r="D8" i="9"/>
  <c r="B8" i="9"/>
  <c r="J7" i="9"/>
  <c r="G7" i="9"/>
  <c r="F7" i="9"/>
  <c r="E7" i="9"/>
  <c r="D7" i="9"/>
  <c r="B7" i="9"/>
  <c r="J6" i="9"/>
  <c r="G6" i="9"/>
  <c r="G17" i="9" s="1"/>
  <c r="F6" i="9"/>
  <c r="E6" i="9"/>
  <c r="D6" i="9"/>
  <c r="D17" i="9" s="1"/>
  <c r="B6" i="9"/>
  <c r="C42" i="8"/>
  <c r="B42" i="8"/>
  <c r="D42" i="8" s="1"/>
  <c r="C41" i="8"/>
  <c r="B41" i="8"/>
  <c r="D41" i="8" s="1"/>
  <c r="C40" i="8"/>
  <c r="B40" i="8"/>
  <c r="D40" i="8" s="1"/>
  <c r="C39" i="8"/>
  <c r="B39" i="8"/>
  <c r="D39" i="8" s="1"/>
  <c r="C38" i="8"/>
  <c r="B38" i="8"/>
  <c r="D38" i="8" s="1"/>
  <c r="C37" i="8"/>
  <c r="B37" i="8"/>
  <c r="D37" i="8" s="1"/>
  <c r="C36" i="8"/>
  <c r="B36" i="8"/>
  <c r="D36" i="8" s="1"/>
  <c r="C35" i="8"/>
  <c r="B35" i="8"/>
  <c r="D35" i="8" s="1"/>
  <c r="C34" i="8"/>
  <c r="B34" i="8"/>
  <c r="D34" i="8" s="1"/>
  <c r="C33" i="8"/>
  <c r="B33" i="8"/>
  <c r="D33" i="8" s="1"/>
  <c r="C32" i="8"/>
  <c r="B32" i="8"/>
  <c r="D32" i="8" s="1"/>
  <c r="C31" i="8"/>
  <c r="C43" i="8" s="1"/>
  <c r="B31" i="8"/>
  <c r="C17" i="8"/>
  <c r="B17" i="8"/>
  <c r="D17" i="8" s="1"/>
  <c r="C16" i="8"/>
  <c r="B16" i="8"/>
  <c r="D16" i="8" s="1"/>
  <c r="C15" i="8"/>
  <c r="B15" i="8"/>
  <c r="D15" i="8" s="1"/>
  <c r="C14" i="8"/>
  <c r="B14" i="8"/>
  <c r="D14" i="8" s="1"/>
  <c r="C12" i="8"/>
  <c r="B12" i="8"/>
  <c r="D12" i="8" s="1"/>
  <c r="C10" i="8"/>
  <c r="B10" i="8"/>
  <c r="C9" i="8"/>
  <c r="B9" i="8"/>
  <c r="D9" i="8" s="1"/>
  <c r="C8" i="8"/>
  <c r="B8" i="8"/>
  <c r="D8" i="8" s="1"/>
  <c r="C7" i="8"/>
  <c r="B23" i="8" s="1"/>
  <c r="B7" i="8"/>
  <c r="C5" i="8"/>
  <c r="C19" i="8" s="1"/>
  <c r="B5" i="8"/>
  <c r="B13" i="8" s="1"/>
  <c r="C43" i="7"/>
  <c r="B43" i="7"/>
  <c r="C42" i="7"/>
  <c r="B42" i="7"/>
  <c r="C41" i="7"/>
  <c r="B41" i="7"/>
  <c r="D41" i="7" s="1"/>
  <c r="C40" i="7"/>
  <c r="B40" i="7"/>
  <c r="C39" i="7"/>
  <c r="B39" i="7"/>
  <c r="C38" i="7"/>
  <c r="B38" i="7"/>
  <c r="C37" i="7"/>
  <c r="B37" i="7"/>
  <c r="D37" i="7" s="1"/>
  <c r="C36" i="7"/>
  <c r="B36" i="7"/>
  <c r="C35" i="7"/>
  <c r="B35" i="7"/>
  <c r="C34" i="7"/>
  <c r="B34" i="7"/>
  <c r="C33" i="7"/>
  <c r="B33" i="7"/>
  <c r="D33" i="7" s="1"/>
  <c r="C32" i="7"/>
  <c r="B32" i="7"/>
  <c r="B44" i="7" s="1"/>
  <c r="J27" i="7"/>
  <c r="I27" i="7"/>
  <c r="H27" i="7"/>
  <c r="G27" i="7"/>
  <c r="F27" i="7"/>
  <c r="E27" i="7"/>
  <c r="D27" i="7"/>
  <c r="C27" i="7"/>
  <c r="B27" i="7"/>
  <c r="K27" i="7" s="1"/>
  <c r="J26" i="7"/>
  <c r="I26" i="7"/>
  <c r="H26" i="7"/>
  <c r="G26" i="7"/>
  <c r="F26" i="7"/>
  <c r="E26" i="7"/>
  <c r="D26" i="7"/>
  <c r="C26" i="7"/>
  <c r="B26" i="7"/>
  <c r="J25" i="7"/>
  <c r="I25" i="7"/>
  <c r="H25" i="7"/>
  <c r="G25" i="7"/>
  <c r="F25" i="7"/>
  <c r="E25" i="7"/>
  <c r="D25" i="7"/>
  <c r="C25" i="7"/>
  <c r="B25" i="7"/>
  <c r="K25" i="7" s="1"/>
  <c r="J24" i="7"/>
  <c r="I24" i="7"/>
  <c r="H24" i="7"/>
  <c r="G24" i="7"/>
  <c r="F24" i="7"/>
  <c r="E24" i="7"/>
  <c r="D24" i="7"/>
  <c r="C24" i="7"/>
  <c r="B24" i="7"/>
  <c r="J23" i="7"/>
  <c r="I23" i="7"/>
  <c r="H23" i="7"/>
  <c r="G23" i="7"/>
  <c r="F23" i="7"/>
  <c r="E23" i="7"/>
  <c r="D23" i="7"/>
  <c r="C23" i="7"/>
  <c r="B23" i="7"/>
  <c r="K23" i="7" s="1"/>
  <c r="J22" i="7"/>
  <c r="I22" i="7"/>
  <c r="H22" i="7"/>
  <c r="G22" i="7"/>
  <c r="F22" i="7"/>
  <c r="E22" i="7"/>
  <c r="D22" i="7"/>
  <c r="C22" i="7"/>
  <c r="B22" i="7"/>
  <c r="J21" i="7"/>
  <c r="I21" i="7"/>
  <c r="H21" i="7"/>
  <c r="G21" i="7"/>
  <c r="F21" i="7"/>
  <c r="E21" i="7"/>
  <c r="D21" i="7"/>
  <c r="C21" i="7"/>
  <c r="B21" i="7"/>
  <c r="K21" i="7" s="1"/>
  <c r="J20" i="7"/>
  <c r="I20" i="7"/>
  <c r="H20" i="7"/>
  <c r="G20" i="7"/>
  <c r="F20" i="7"/>
  <c r="E20" i="7"/>
  <c r="D20" i="7"/>
  <c r="C20" i="7"/>
  <c r="B20" i="7"/>
  <c r="J19" i="7"/>
  <c r="J28" i="7" s="1"/>
  <c r="I19" i="7"/>
  <c r="I28" i="7" s="1"/>
  <c r="H19" i="7"/>
  <c r="H28" i="7" s="1"/>
  <c r="G19" i="7"/>
  <c r="F19" i="7"/>
  <c r="F28" i="7" s="1"/>
  <c r="E19" i="7"/>
  <c r="E28" i="7" s="1"/>
  <c r="D19" i="7"/>
  <c r="D28" i="7" s="1"/>
  <c r="C19" i="7"/>
  <c r="B19" i="7"/>
  <c r="B28" i="7" s="1"/>
  <c r="E14" i="7"/>
  <c r="D14" i="7"/>
  <c r="B14" i="7"/>
  <c r="E13" i="7"/>
  <c r="D13" i="7"/>
  <c r="B13" i="7"/>
  <c r="E12" i="7"/>
  <c r="D12" i="7"/>
  <c r="B12" i="7"/>
  <c r="E11" i="7"/>
  <c r="D11" i="7"/>
  <c r="B11" i="7"/>
  <c r="E10" i="7"/>
  <c r="D10" i="7"/>
  <c r="B10" i="7"/>
  <c r="E9" i="7"/>
  <c r="D9" i="7"/>
  <c r="B9" i="7"/>
  <c r="E8" i="7"/>
  <c r="D8" i="7"/>
  <c r="B8" i="7"/>
  <c r="E7" i="7"/>
  <c r="D7" i="7"/>
  <c r="B7" i="7"/>
  <c r="E6" i="7"/>
  <c r="D6" i="7"/>
  <c r="D15" i="7" s="1"/>
  <c r="B6" i="7"/>
  <c r="B15" i="7" s="1"/>
  <c r="E33" i="6"/>
  <c r="D33" i="6"/>
  <c r="C33" i="6"/>
  <c r="B33" i="6"/>
  <c r="F33" i="6" s="1"/>
  <c r="E32" i="6"/>
  <c r="D32" i="6"/>
  <c r="C32" i="6"/>
  <c r="B32" i="6"/>
  <c r="F32" i="6" s="1"/>
  <c r="E31" i="6"/>
  <c r="D31" i="6"/>
  <c r="C31" i="6"/>
  <c r="B31" i="6"/>
  <c r="F31" i="6" s="1"/>
  <c r="E30" i="6"/>
  <c r="D30" i="6"/>
  <c r="C30" i="6"/>
  <c r="B30" i="6"/>
  <c r="F30" i="6" s="1"/>
  <c r="E29" i="6"/>
  <c r="D29" i="6"/>
  <c r="C29" i="6"/>
  <c r="B29" i="6"/>
  <c r="F29" i="6" s="1"/>
  <c r="E28" i="6"/>
  <c r="D28" i="6"/>
  <c r="C28" i="6"/>
  <c r="B28" i="6"/>
  <c r="F28" i="6" s="1"/>
  <c r="E27" i="6"/>
  <c r="D27" i="6"/>
  <c r="C27" i="6"/>
  <c r="B27" i="6"/>
  <c r="F27" i="6" s="1"/>
  <c r="E26" i="6"/>
  <c r="E34" i="6" s="1"/>
  <c r="D26" i="6"/>
  <c r="D34" i="6" s="1"/>
  <c r="C26" i="6"/>
  <c r="C34" i="6" s="1"/>
  <c r="B26" i="6"/>
  <c r="B34" i="6" s="1"/>
  <c r="I21" i="6"/>
  <c r="H21" i="6"/>
  <c r="D21" i="6"/>
  <c r="C21" i="6"/>
  <c r="B21" i="6"/>
  <c r="G21" i="6" s="1"/>
  <c r="I20" i="6"/>
  <c r="H20" i="6"/>
  <c r="D20" i="6"/>
  <c r="C20" i="6"/>
  <c r="B20" i="6"/>
  <c r="G20" i="6" s="1"/>
  <c r="I19" i="6"/>
  <c r="H19" i="6"/>
  <c r="D19" i="6"/>
  <c r="C19" i="6"/>
  <c r="B19" i="6"/>
  <c r="G19" i="6" s="1"/>
  <c r="I18" i="6"/>
  <c r="H18" i="6"/>
  <c r="D18" i="6"/>
  <c r="C18" i="6"/>
  <c r="B18" i="6"/>
  <c r="G18" i="6" s="1"/>
  <c r="I17" i="6"/>
  <c r="H17" i="6"/>
  <c r="D17" i="6"/>
  <c r="C17" i="6"/>
  <c r="B17" i="6"/>
  <c r="G17" i="6" s="1"/>
  <c r="I16" i="6"/>
  <c r="H16" i="6"/>
  <c r="D16" i="6"/>
  <c r="C16" i="6"/>
  <c r="B16" i="6"/>
  <c r="G16" i="6" s="1"/>
  <c r="I15" i="6"/>
  <c r="H15" i="6"/>
  <c r="D15" i="6"/>
  <c r="C15" i="6"/>
  <c r="B15" i="6"/>
  <c r="G15" i="6" s="1"/>
  <c r="I14" i="6"/>
  <c r="I22" i="6" s="1"/>
  <c r="H14" i="6"/>
  <c r="H22" i="6" s="1"/>
  <c r="D14" i="6"/>
  <c r="D22" i="6" s="1"/>
  <c r="C14" i="6"/>
  <c r="C22" i="6" s="1"/>
  <c r="B14" i="6"/>
  <c r="G14" i="6" s="1"/>
  <c r="H9" i="6"/>
  <c r="D9" i="6"/>
  <c r="C9" i="6"/>
  <c r="B9" i="6"/>
  <c r="G9" i="6" s="1"/>
  <c r="H8" i="6"/>
  <c r="D8" i="6"/>
  <c r="C8" i="6"/>
  <c r="B8" i="6"/>
  <c r="G8" i="6" s="1"/>
  <c r="H7" i="6"/>
  <c r="D7" i="6"/>
  <c r="C7" i="6"/>
  <c r="B7" i="6"/>
  <c r="G7" i="6" s="1"/>
  <c r="H6" i="6"/>
  <c r="H10" i="6" s="1"/>
  <c r="D6" i="6"/>
  <c r="C6" i="6"/>
  <c r="C10" i="6" s="1"/>
  <c r="B6" i="6"/>
  <c r="G6" i="6" s="1"/>
  <c r="B90" i="5"/>
  <c r="B89" i="5"/>
  <c r="B88" i="5"/>
  <c r="B87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B83" i="5" s="1"/>
  <c r="C70" i="5"/>
  <c r="B70" i="5"/>
  <c r="C69" i="5"/>
  <c r="B69" i="5"/>
  <c r="C68" i="5"/>
  <c r="B68" i="5"/>
  <c r="C67" i="5"/>
  <c r="B67" i="5"/>
  <c r="C66" i="5"/>
  <c r="B66" i="5"/>
  <c r="C65" i="5"/>
  <c r="B65" i="5"/>
  <c r="C64" i="5"/>
  <c r="B64" i="5"/>
  <c r="C63" i="5"/>
  <c r="B63" i="5"/>
  <c r="C62" i="5"/>
  <c r="B62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6" i="4" s="1"/>
  <c r="B54" i="5"/>
  <c r="D44" i="5"/>
  <c r="C44" i="5"/>
  <c r="B44" i="5"/>
  <c r="D43" i="5"/>
  <c r="C43" i="5"/>
  <c r="B43" i="5"/>
  <c r="D42" i="5"/>
  <c r="C42" i="5"/>
  <c r="B42" i="5"/>
  <c r="D41" i="5"/>
  <c r="C41" i="5"/>
  <c r="B41" i="5"/>
  <c r="D40" i="5"/>
  <c r="C40" i="5"/>
  <c r="B40" i="5"/>
  <c r="D39" i="5"/>
  <c r="C39" i="5"/>
  <c r="B39" i="5"/>
  <c r="D38" i="5"/>
  <c r="C38" i="5"/>
  <c r="B38" i="5"/>
  <c r="D37" i="5"/>
  <c r="C37" i="5"/>
  <c r="B37" i="5"/>
  <c r="D36" i="5"/>
  <c r="C36" i="5"/>
  <c r="B36" i="5"/>
  <c r="D35" i="5"/>
  <c r="C35" i="5"/>
  <c r="B35" i="5"/>
  <c r="D34" i="5"/>
  <c r="C34" i="5"/>
  <c r="B34" i="5"/>
  <c r="D33" i="5"/>
  <c r="C33" i="5"/>
  <c r="B33" i="5"/>
  <c r="B28" i="5"/>
  <c r="B27" i="5"/>
  <c r="B26" i="5"/>
  <c r="B25" i="5"/>
  <c r="B24" i="5"/>
  <c r="B23" i="5"/>
  <c r="B22" i="5"/>
  <c r="B21" i="5"/>
  <c r="B20" i="5"/>
  <c r="B19" i="5"/>
  <c r="B18" i="5"/>
  <c r="B17" i="5"/>
  <c r="B29" i="5" s="1"/>
  <c r="B11" i="5"/>
  <c r="B8" i="5"/>
  <c r="B7" i="5"/>
  <c r="B6" i="5"/>
  <c r="B19" i="4"/>
  <c r="B18" i="4"/>
  <c r="B17" i="4"/>
  <c r="B16" i="4"/>
  <c r="B15" i="4"/>
  <c r="B14" i="4"/>
  <c r="B5" i="4"/>
  <c r="B9" i="5" l="1"/>
  <c r="B10" i="5" s="1"/>
  <c r="B10" i="4" s="1"/>
  <c r="E34" i="5"/>
  <c r="C71" i="5"/>
  <c r="B7" i="4"/>
  <c r="B71" i="5"/>
  <c r="D63" i="5"/>
  <c r="D64" i="5"/>
  <c r="D65" i="5"/>
  <c r="D66" i="5"/>
  <c r="D67" i="5"/>
  <c r="D68" i="5"/>
  <c r="D69" i="5"/>
  <c r="D70" i="5"/>
  <c r="D75" i="5"/>
  <c r="D76" i="5"/>
  <c r="D77" i="5"/>
  <c r="D78" i="5"/>
  <c r="D79" i="5"/>
  <c r="D80" i="5"/>
  <c r="D81" i="5"/>
  <c r="D82" i="5"/>
  <c r="C28" i="7"/>
  <c r="G28" i="7"/>
  <c r="K22" i="7"/>
  <c r="K24" i="7"/>
  <c r="K26" i="7"/>
  <c r="D32" i="7"/>
  <c r="D34" i="7"/>
  <c r="D35" i="7"/>
  <c r="D36" i="7"/>
  <c r="D38" i="7"/>
  <c r="D39" i="7"/>
  <c r="D40" i="7"/>
  <c r="D42" i="7"/>
  <c r="D43" i="7"/>
  <c r="B22" i="8"/>
  <c r="D7" i="8"/>
  <c r="D10" i="8"/>
  <c r="C13" i="8"/>
  <c r="D13" i="8" s="1"/>
  <c r="C18" i="8"/>
  <c r="B43" i="8"/>
  <c r="D31" i="8"/>
  <c r="F17" i="9"/>
  <c r="I6" i="9"/>
  <c r="H6" i="9"/>
  <c r="H7" i="9"/>
  <c r="I7" i="9"/>
  <c r="H8" i="9"/>
  <c r="H11" i="9"/>
  <c r="I11" i="9"/>
  <c r="H12" i="9"/>
  <c r="H15" i="9"/>
  <c r="I15" i="9"/>
  <c r="H16" i="9"/>
  <c r="C22" i="9"/>
  <c r="C23" i="9"/>
  <c r="C24" i="9"/>
  <c r="C25" i="9"/>
  <c r="C26" i="9"/>
  <c r="B4" i="4"/>
  <c r="C12" i="9"/>
  <c r="C8" i="9"/>
  <c r="C6" i="8"/>
  <c r="C15" i="9"/>
  <c r="C11" i="9"/>
  <c r="C7" i="9"/>
  <c r="C27" i="5"/>
  <c r="C25" i="5"/>
  <c r="C23" i="5"/>
  <c r="C21" i="5"/>
  <c r="C19" i="5"/>
  <c r="C17" i="5"/>
  <c r="C18" i="5"/>
  <c r="C26" i="5"/>
  <c r="C6" i="10"/>
  <c r="E38" i="5"/>
  <c r="E42" i="5"/>
  <c r="C89" i="5"/>
  <c r="C8" i="7"/>
  <c r="C12" i="7"/>
  <c r="I17" i="9"/>
  <c r="C13" i="9"/>
  <c r="B12" i="5"/>
  <c r="C24" i="5"/>
  <c r="C48" i="5"/>
  <c r="B48" i="5" s="1"/>
  <c r="C50" i="5"/>
  <c r="B50" i="5" s="1"/>
  <c r="E33" i="5"/>
  <c r="C49" i="5"/>
  <c r="B49" i="5" s="1"/>
  <c r="E37" i="5"/>
  <c r="E41" i="5"/>
  <c r="C90" i="5"/>
  <c r="C7" i="7"/>
  <c r="C11" i="7"/>
  <c r="C22" i="5"/>
  <c r="E36" i="5"/>
  <c r="E40" i="5"/>
  <c r="E44" i="5"/>
  <c r="C87" i="5"/>
  <c r="C10" i="7"/>
  <c r="C14" i="7"/>
  <c r="C9" i="9"/>
  <c r="C20" i="5"/>
  <c r="C28" i="5"/>
  <c r="E35" i="5"/>
  <c r="E39" i="5"/>
  <c r="E43" i="5"/>
  <c r="D83" i="5"/>
  <c r="C88" i="5"/>
  <c r="E15" i="7"/>
  <c r="C9" i="7"/>
  <c r="C13" i="7"/>
  <c r="B25" i="8"/>
  <c r="D43" i="8"/>
  <c r="C16" i="9"/>
  <c r="C6" i="7"/>
  <c r="C15" i="7" s="1"/>
  <c r="K19" i="7"/>
  <c r="C44" i="7"/>
  <c r="D44" i="7" s="1"/>
  <c r="D5" i="8"/>
  <c r="B11" i="8"/>
  <c r="B19" i="8"/>
  <c r="D19" i="8" s="1"/>
  <c r="C6" i="9"/>
  <c r="C7" i="10" s="1"/>
  <c r="I8" i="9"/>
  <c r="H9" i="9"/>
  <c r="C10" i="9"/>
  <c r="I12" i="9"/>
  <c r="H13" i="9"/>
  <c r="C14" i="9"/>
  <c r="I16" i="9"/>
  <c r="C21" i="9"/>
  <c r="C27" i="9" s="1"/>
  <c r="B91" i="5"/>
  <c r="D10" i="6"/>
  <c r="D62" i="5"/>
  <c r="D71" i="5" s="1"/>
  <c r="E6" i="6"/>
  <c r="F6" i="6" s="1"/>
  <c r="I6" i="6"/>
  <c r="E7" i="6"/>
  <c r="F7" i="6" s="1"/>
  <c r="C5" i="10" s="1"/>
  <c r="E8" i="6"/>
  <c r="F8" i="6" s="1"/>
  <c r="E9" i="6"/>
  <c r="F9" i="6" s="1"/>
  <c r="E14" i="6"/>
  <c r="E15" i="6"/>
  <c r="F15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B6" i="8"/>
  <c r="D6" i="8" s="1"/>
  <c r="C11" i="8"/>
  <c r="B18" i="8"/>
  <c r="D18" i="8" s="1"/>
  <c r="B24" i="8"/>
  <c r="B26" i="8" s="1"/>
  <c r="F26" i="6"/>
  <c r="F34" i="6" s="1"/>
  <c r="K20" i="7"/>
  <c r="B17" i="9"/>
  <c r="H17" i="9" s="1"/>
  <c r="C83" i="5"/>
  <c r="B10" i="6"/>
  <c r="B22" i="6"/>
  <c r="G22" i="6" s="1"/>
  <c r="B8" i="4"/>
  <c r="D11" i="8" l="1"/>
  <c r="K28" i="7"/>
  <c r="B9" i="4"/>
  <c r="E10" i="6"/>
  <c r="F10" i="6" s="1"/>
  <c r="C17" i="9"/>
  <c r="C91" i="5"/>
  <c r="I9" i="6"/>
  <c r="F14" i="6"/>
  <c r="E22" i="6"/>
  <c r="F22" i="6" s="1"/>
  <c r="G10" i="6"/>
  <c r="I10" i="6"/>
  <c r="I7" i="6"/>
  <c r="E17" i="9"/>
  <c r="I8" i="6"/>
  <c r="C29" i="5"/>
</calcChain>
</file>

<file path=xl/sharedStrings.xml><?xml version="1.0" encoding="utf-8"?>
<sst xmlns="http://schemas.openxmlformats.org/spreadsheetml/2006/main" count="2579" uniqueCount="468">
  <si>
    <t>Incident_ID</t>
  </si>
  <si>
    <t>Date</t>
  </si>
  <si>
    <t>Incident_Type</t>
  </si>
  <si>
    <t>Severity</t>
  </si>
  <si>
    <t>Status</t>
  </si>
  <si>
    <t>Department</t>
  </si>
  <si>
    <t>Responsible_Team</t>
  </si>
  <si>
    <t>Resolution_Time_Days</t>
  </si>
  <si>
    <t>Cost_Impact_USD</t>
  </si>
  <si>
    <t>Root_Cause</t>
  </si>
  <si>
    <t>Control_Domain</t>
  </si>
  <si>
    <t>Regulatory_Exposure</t>
  </si>
  <si>
    <t>Escalation_Level</t>
  </si>
  <si>
    <t>Third_Party_Involved</t>
  </si>
  <si>
    <t>SLA_Target_Days</t>
  </si>
  <si>
    <t>SLA_Breached</t>
  </si>
  <si>
    <t>INC0001</t>
  </si>
  <si>
    <t>Malware</t>
  </si>
  <si>
    <t>Medium</t>
  </si>
  <si>
    <t>Open</t>
  </si>
  <si>
    <t>Operations</t>
  </si>
  <si>
    <t>Compliance</t>
  </si>
  <si>
    <t>Malicious attachment</t>
  </si>
  <si>
    <t>Endpoint Security</t>
  </si>
  <si>
    <t>Contractual</t>
  </si>
  <si>
    <t>CISO / Department Head</t>
  </si>
  <si>
    <t>No</t>
  </si>
  <si>
    <t>Pending</t>
  </si>
  <si>
    <t>INC0002</t>
  </si>
  <si>
    <t>Misconfiguration</t>
  </si>
  <si>
    <t>High</t>
  </si>
  <si>
    <t>On Hold</t>
  </si>
  <si>
    <t>Finance</t>
  </si>
  <si>
    <t>Access rule misconfiguration</t>
  </si>
  <si>
    <t>Configuration Management</t>
  </si>
  <si>
    <t>None</t>
  </si>
  <si>
    <t>Executive / CISO</t>
  </si>
  <si>
    <t>Yes</t>
  </si>
  <si>
    <t>INC0003</t>
  </si>
  <si>
    <t>Closed</t>
  </si>
  <si>
    <t>HR</t>
  </si>
  <si>
    <t>IT Security</t>
  </si>
  <si>
    <t>Unsafe software installation</t>
  </si>
  <si>
    <t>INC0004</t>
  </si>
  <si>
    <t>SOC</t>
  </si>
  <si>
    <t>INC0005</t>
  </si>
  <si>
    <t>DDoS</t>
  </si>
  <si>
    <t>Capacity planning gap</t>
  </si>
  <si>
    <t>Network Resilience</t>
  </si>
  <si>
    <t>Financial Data</t>
  </si>
  <si>
    <t>INC0006</t>
  </si>
  <si>
    <t>Low</t>
  </si>
  <si>
    <t>Insufficient rate limiting</t>
  </si>
  <si>
    <t>Operational</t>
  </si>
  <si>
    <t>INC0007</t>
  </si>
  <si>
    <t>Phishing</t>
  </si>
  <si>
    <t>Spoofed business email</t>
  </si>
  <si>
    <t>Security Awareness</t>
  </si>
  <si>
    <t>Privacy</t>
  </si>
  <si>
    <t>INC0008</t>
  </si>
  <si>
    <t>Unauthorized Access</t>
  </si>
  <si>
    <t>Excessive privileges</t>
  </si>
  <si>
    <t>Identity &amp; Access Management</t>
  </si>
  <si>
    <t>INC0009</t>
  </si>
  <si>
    <t>In Progress</t>
  </si>
  <si>
    <t>INC0010</t>
  </si>
  <si>
    <t>Credential harvesting</t>
  </si>
  <si>
    <t>INC0011</t>
  </si>
  <si>
    <t>Data Leak</t>
  </si>
  <si>
    <t>Data handling error</t>
  </si>
  <si>
    <t>Data Protection</t>
  </si>
  <si>
    <t>INC0012</t>
  </si>
  <si>
    <t>IT</t>
  </si>
  <si>
    <t>INC0013</t>
  </si>
  <si>
    <t>Legal</t>
  </si>
  <si>
    <t>Regulatory</t>
  </si>
  <si>
    <t>INC0014</t>
  </si>
  <si>
    <t>Dormant account misuse</t>
  </si>
  <si>
    <t>INC0015</t>
  </si>
  <si>
    <t>Improper sharing</t>
  </si>
  <si>
    <t>INC0016</t>
  </si>
  <si>
    <t>INC0017</t>
  </si>
  <si>
    <t>INC0018</t>
  </si>
  <si>
    <t>DevOps</t>
  </si>
  <si>
    <t>INC0019</t>
  </si>
  <si>
    <t>INC0020</t>
  </si>
  <si>
    <t>Unpatched endpoint</t>
  </si>
  <si>
    <t>INC0021</t>
  </si>
  <si>
    <t>INC0022</t>
  </si>
  <si>
    <t>Critical</t>
  </si>
  <si>
    <t>Board / Executive</t>
  </si>
  <si>
    <t>INC0023</t>
  </si>
  <si>
    <t>INC0024</t>
  </si>
  <si>
    <t>Misconfigured storage</t>
  </si>
  <si>
    <t>INC0025</t>
  </si>
  <si>
    <t>INC0026</t>
  </si>
  <si>
    <t>INC0027</t>
  </si>
  <si>
    <t>INC0028</t>
  </si>
  <si>
    <t>INC0029</t>
  </si>
  <si>
    <t>Change-control failure</t>
  </si>
  <si>
    <t>INC0030</t>
  </si>
  <si>
    <t>INC0031</t>
  </si>
  <si>
    <t>INC0032</t>
  </si>
  <si>
    <t>Compromised credentials</t>
  </si>
  <si>
    <t>INC0033</t>
  </si>
  <si>
    <t>INC0034</t>
  </si>
  <si>
    <t>INC0035</t>
  </si>
  <si>
    <t>INC0036</t>
  </si>
  <si>
    <t>INC0037</t>
  </si>
  <si>
    <t>User awareness gap</t>
  </si>
  <si>
    <t>INC0038</t>
  </si>
  <si>
    <t>External botnet activity</t>
  </si>
  <si>
    <t>INC0039</t>
  </si>
  <si>
    <t>INC0040</t>
  </si>
  <si>
    <t>INC0041</t>
  </si>
  <si>
    <t>INC0042</t>
  </si>
  <si>
    <t>INC0043</t>
  </si>
  <si>
    <t>INC0044</t>
  </si>
  <si>
    <t>INC0045</t>
  </si>
  <si>
    <t>INC0046</t>
  </si>
  <si>
    <t>INC0047</t>
  </si>
  <si>
    <t>Employment Data</t>
  </si>
  <si>
    <t>INC0048</t>
  </si>
  <si>
    <t>INC0049</t>
  </si>
  <si>
    <t>INC0050</t>
  </si>
  <si>
    <t>INC0051</t>
  </si>
  <si>
    <t>INC0052</t>
  </si>
  <si>
    <t>INC0053</t>
  </si>
  <si>
    <t>INC0054</t>
  </si>
  <si>
    <t>INC0055</t>
  </si>
  <si>
    <t>INC0056</t>
  </si>
  <si>
    <t>INC0057</t>
  </si>
  <si>
    <t>INC0058</t>
  </si>
  <si>
    <t>INC0059</t>
  </si>
  <si>
    <t>INC0060</t>
  </si>
  <si>
    <t>INC0061</t>
  </si>
  <si>
    <t>INC0062</t>
  </si>
  <si>
    <t>INC0063</t>
  </si>
  <si>
    <t>INC0064</t>
  </si>
  <si>
    <t>INC0065</t>
  </si>
  <si>
    <t>INC0066</t>
  </si>
  <si>
    <t>INC0067</t>
  </si>
  <si>
    <t>INC0068</t>
  </si>
  <si>
    <t>INC0069</t>
  </si>
  <si>
    <t>INC0070</t>
  </si>
  <si>
    <t>INC0071</t>
  </si>
  <si>
    <t>INC0072</t>
  </si>
  <si>
    <t>INC0073</t>
  </si>
  <si>
    <t>INC0074</t>
  </si>
  <si>
    <t>INC0075</t>
  </si>
  <si>
    <t>INC0076</t>
  </si>
  <si>
    <t>INC0077</t>
  </si>
  <si>
    <t>INC0078</t>
  </si>
  <si>
    <t>INC0079</t>
  </si>
  <si>
    <t>INC0080</t>
  </si>
  <si>
    <t>INC0081</t>
  </si>
  <si>
    <t>INC0082</t>
  </si>
  <si>
    <t>INC0083</t>
  </si>
  <si>
    <t>INC0084</t>
  </si>
  <si>
    <t>INC0085</t>
  </si>
  <si>
    <t>INC0086</t>
  </si>
  <si>
    <t>INC0087</t>
  </si>
  <si>
    <t>INC0088</t>
  </si>
  <si>
    <t>INC0089</t>
  </si>
  <si>
    <t>INC0090</t>
  </si>
  <si>
    <t>INC0091</t>
  </si>
  <si>
    <t>INC0092</t>
  </si>
  <si>
    <t>INC0093</t>
  </si>
  <si>
    <t>INC0094</t>
  </si>
  <si>
    <t>INC0095</t>
  </si>
  <si>
    <t>INC0096</t>
  </si>
  <si>
    <t>INC0097</t>
  </si>
  <si>
    <t>INC0098</t>
  </si>
  <si>
    <t>INC0099</t>
  </si>
  <si>
    <t>INC0100</t>
  </si>
  <si>
    <t>INC0101</t>
  </si>
  <si>
    <t>Academic Services</t>
  </si>
  <si>
    <t>Incident Response</t>
  </si>
  <si>
    <t>INC0102</t>
  </si>
  <si>
    <t>Lost Device</t>
  </si>
  <si>
    <t>Unencrypted removable media</t>
  </si>
  <si>
    <t>Asset &amp; Endpoint Security</t>
  </si>
  <si>
    <t>INC0103</t>
  </si>
  <si>
    <t>Cloud Operations</t>
  </si>
  <si>
    <t>INC0104</t>
  </si>
  <si>
    <t>Third-Party Breach</t>
  </si>
  <si>
    <t>Supply-chain weakness</t>
  </si>
  <si>
    <t>Third-Party Risk</t>
  </si>
  <si>
    <t>INC0105</t>
  </si>
  <si>
    <t>INC0106</t>
  </si>
  <si>
    <t>INC0107</t>
  </si>
  <si>
    <t>Student Services</t>
  </si>
  <si>
    <t>Education Records</t>
  </si>
  <si>
    <t>INC0108</t>
  </si>
  <si>
    <t>Insider Threat</t>
  </si>
  <si>
    <t>Unauthorized data transfer</t>
  </si>
  <si>
    <t>Privileged Access &amp; Monitoring</t>
  </si>
  <si>
    <t>INC0109</t>
  </si>
  <si>
    <t>INC0110</t>
  </si>
  <si>
    <t>INC0111</t>
  </si>
  <si>
    <t>Policy violation</t>
  </si>
  <si>
    <t>INC0112</t>
  </si>
  <si>
    <t>INC0113</t>
  </si>
  <si>
    <t>Credential Theft</t>
  </si>
  <si>
    <t>IAM</t>
  </si>
  <si>
    <t>INC0114</t>
  </si>
  <si>
    <t>INC0115</t>
  </si>
  <si>
    <t>INC0116</t>
  </si>
  <si>
    <t>INC0117</t>
  </si>
  <si>
    <t>INC0118</t>
  </si>
  <si>
    <t>GRC</t>
  </si>
  <si>
    <t>Third-party access abuse</t>
  </si>
  <si>
    <t>INC0119</t>
  </si>
  <si>
    <t>Vendor compromise</t>
  </si>
  <si>
    <t>INC0120</t>
  </si>
  <si>
    <t>Research</t>
  </si>
  <si>
    <t>INC0121</t>
  </si>
  <si>
    <t>INC0122</t>
  </si>
  <si>
    <t>INC0123</t>
  </si>
  <si>
    <t>Asset loss</t>
  </si>
  <si>
    <t>Research Data</t>
  </si>
  <si>
    <t>INC0124</t>
  </si>
  <si>
    <t>INC0125</t>
  </si>
  <si>
    <t>INC0126</t>
  </si>
  <si>
    <t>Cloud Exposure</t>
  </si>
  <si>
    <t>IAM misconfiguration</t>
  </si>
  <si>
    <t>Cloud Security</t>
  </si>
  <si>
    <t>INC0127</t>
  </si>
  <si>
    <t>INC0128</t>
  </si>
  <si>
    <t>INC0129</t>
  </si>
  <si>
    <t>INC0130</t>
  </si>
  <si>
    <t>Password reuse</t>
  </si>
  <si>
    <t>INC0131</t>
  </si>
  <si>
    <t>INC0132</t>
  </si>
  <si>
    <t>Cloud configuration error</t>
  </si>
  <si>
    <t>INC0133</t>
  </si>
  <si>
    <t>INC0134</t>
  </si>
  <si>
    <t>INC0135</t>
  </si>
  <si>
    <t>INC0136</t>
  </si>
  <si>
    <t>Security group error</t>
  </si>
  <si>
    <t>INC0137</t>
  </si>
  <si>
    <t>INC0138</t>
  </si>
  <si>
    <t>INC0139</t>
  </si>
  <si>
    <t>INC0140</t>
  </si>
  <si>
    <t>INC0141</t>
  </si>
  <si>
    <t>INC0142</t>
  </si>
  <si>
    <t>INC0143</t>
  </si>
  <si>
    <t>INC0144</t>
  </si>
  <si>
    <t>INC0145</t>
  </si>
  <si>
    <t>INC0146</t>
  </si>
  <si>
    <t>INC0147</t>
  </si>
  <si>
    <t>INC0148</t>
  </si>
  <si>
    <t>INC0149</t>
  </si>
  <si>
    <t>INC0150</t>
  </si>
  <si>
    <t>INC0151</t>
  </si>
  <si>
    <t>INC0152</t>
  </si>
  <si>
    <t>INC0153</t>
  </si>
  <si>
    <t>INC0154</t>
  </si>
  <si>
    <t>INC0155</t>
  </si>
  <si>
    <t>INC0156</t>
  </si>
  <si>
    <t>Public storage exposure</t>
  </si>
  <si>
    <t>INC0157</t>
  </si>
  <si>
    <t>INC0158</t>
  </si>
  <si>
    <t>INC0159</t>
  </si>
  <si>
    <t>INC0160</t>
  </si>
  <si>
    <t>INC0161</t>
  </si>
  <si>
    <t>INC0162</t>
  </si>
  <si>
    <t>INC0163</t>
  </si>
  <si>
    <t>Policy Violation</t>
  </si>
  <si>
    <t>Unauthorized cloud service</t>
  </si>
  <si>
    <t>Policy Compliance</t>
  </si>
  <si>
    <t>INC0164</t>
  </si>
  <si>
    <t>INC0165</t>
  </si>
  <si>
    <t>INC0166</t>
  </si>
  <si>
    <t>INC0167</t>
  </si>
  <si>
    <t>INC0168</t>
  </si>
  <si>
    <t>MFA fatigue attack</t>
  </si>
  <si>
    <t>INC0169</t>
  </si>
  <si>
    <t>INC0170</t>
  </si>
  <si>
    <t>INC0171</t>
  </si>
  <si>
    <t>INC0172</t>
  </si>
  <si>
    <t>INC0173</t>
  </si>
  <si>
    <t>INC0174</t>
  </si>
  <si>
    <t>Weak device handling</t>
  </si>
  <si>
    <t>INC0175</t>
  </si>
  <si>
    <t>INC0176</t>
  </si>
  <si>
    <t>INC0177</t>
  </si>
  <si>
    <t>INC0178</t>
  </si>
  <si>
    <t>INC0179</t>
  </si>
  <si>
    <t>INC0180</t>
  </si>
  <si>
    <t>Field</t>
  </si>
  <si>
    <t>Description</t>
  </si>
  <si>
    <t>Example / Values</t>
  </si>
  <si>
    <t>Unique simulated incident identifier.</t>
  </si>
  <si>
    <t>Date on which the incident was recorded.</t>
  </si>
  <si>
    <t>2025-03-17</t>
  </si>
  <si>
    <t>Primary incident category.</t>
  </si>
  <si>
    <t>Malware, Phishing, Data Leak, Cloud Exposure, etc.</t>
  </si>
  <si>
    <t>Business/security severity assigned to the incident.</t>
  </si>
  <si>
    <t>Low, Medium, High, Critical</t>
  </si>
  <si>
    <t>Current incident state.</t>
  </si>
  <si>
    <t>Closed, In Progress, Open, On Hold</t>
  </si>
  <si>
    <t>Business unit most directly affected.</t>
  </si>
  <si>
    <t>Finance, HR, IT, Operations, etc.</t>
  </si>
  <si>
    <t>Team accountable for coordinating the response.</t>
  </si>
  <si>
    <t>SOC, IT Security, GRC, IAM, Cloud Security, etc.</t>
  </si>
  <si>
    <t>Days taken to resolve a closed incident or elapsed days recorded for an unresolved incident.</t>
  </si>
  <si>
    <t>1–30+</t>
  </si>
  <si>
    <t>Estimated direct and indirect cost impact in US dollars.</t>
  </si>
  <si>
    <t>25000</t>
  </si>
  <si>
    <t>Primary contributing root-cause category.</t>
  </si>
  <si>
    <t>Compromised credentials, Change-control failure, etc.</t>
  </si>
  <si>
    <t>Governance/control domain associated with the incident.</t>
  </si>
  <si>
    <t>Identity &amp; Access Management, Data Protection, etc.</t>
  </si>
  <si>
    <t>High-level regulatory, contractual or data-governance exposure category.</t>
  </si>
  <si>
    <t>Privacy, Contractual, Operational, None</t>
  </si>
  <si>
    <t>Expected governance escalation based primarily on severity.</t>
  </si>
  <si>
    <t>Operational; CISO / Department Head; Executive / CISO; Board / Executive</t>
  </si>
  <si>
    <t>Whether a third party materially contributed to or was involved in the incident.</t>
  </si>
  <si>
    <t>Yes / No</t>
  </si>
  <si>
    <t>Simulated target resolution period based on severity.</t>
  </si>
  <si>
    <t>3, 7, 14, 30</t>
  </si>
  <si>
    <t>Whether a closed incident exceeded the simulated resolution SLA; unresolved incidents are Pending.</t>
  </si>
  <si>
    <t>Yes / No / Pending</t>
  </si>
  <si>
    <t>GRC102 Week 3 Student Analysis Template</t>
  </si>
  <si>
    <t>Answer sheet for Part D. Every result below is a live link to the analysis sheets in this workbook.</t>
  </si>
  <si>
    <t>Analysis Requirement</t>
  </si>
  <si>
    <t>Result / where to find it</t>
  </si>
  <si>
    <t>Total number of incidents</t>
  </si>
  <si>
    <t>Distribution by Incident_Type</t>
  </si>
  <si>
    <t>Average Resolution_Time_Days by Severity</t>
  </si>
  <si>
    <t>Total Cost_Impact_USD by Department</t>
  </si>
  <si>
    <t>Total Cost_Impact_USD by Responsible_Team</t>
  </si>
  <si>
    <t>Top 3 Incident_Type categories by average Cost_Impact_USD</t>
  </si>
  <si>
    <t>Percentage of incidents that are Open or In Progress</t>
  </si>
  <si>
    <t>SLA breach pattern by Severity / Responsible_Team (advanced)</t>
  </si>
  <si>
    <t>See SLA_Analysis (severity, team, and team x severity tables)</t>
  </si>
  <si>
    <t>Regulatory exposure trends (advanced)</t>
  </si>
  <si>
    <t>See Regulatory_Exposure (category summary, department matrix, incident-type view)</t>
  </si>
  <si>
    <t>Third-party involvement trends (advanced)</t>
  </si>
  <si>
    <t>See Third_Party (cost, resolution, severity, escalation, Welch test)</t>
  </si>
  <si>
    <t>Most important governance insight #1</t>
  </si>
  <si>
    <t>Governance recommendation #1</t>
  </si>
  <si>
    <t>Most important governance insight #2</t>
  </si>
  <si>
    <t>Governance recommendation #2</t>
  </si>
  <si>
    <t>Most important governance insight #3</t>
  </si>
  <si>
    <t>Governance recommendation #3</t>
  </si>
  <si>
    <t>Part D1 - Core Analysis</t>
  </si>
  <si>
    <t>All numbers are live formulas on Incident_Data. Row labels are typed; every value recalculates from the source rows (original Incident_ID values retained on Incident_Data).</t>
  </si>
  <si>
    <t>Headline metrics</t>
  </si>
  <si>
    <t>Metric</t>
  </si>
  <si>
    <t>Value</t>
  </si>
  <si>
    <t>Method</t>
  </si>
  <si>
    <t>COUNTA of Incident_ID</t>
  </si>
  <si>
    <t>Status = Open</t>
  </si>
  <si>
    <t>COUNTIF Status</t>
  </si>
  <si>
    <t>Status = In Progress</t>
  </si>
  <si>
    <t>Open + In Progress</t>
  </si>
  <si>
    <t>Sum of the two rows above</t>
  </si>
  <si>
    <t>% of incidents Open or In Progress</t>
  </si>
  <si>
    <t>Open + In Progress / Total</t>
  </si>
  <si>
    <t>Total Cost_Impact_USD</t>
  </si>
  <si>
    <t>SUM Cost_Impact_USD</t>
  </si>
  <si>
    <t>Average cost per incident</t>
  </si>
  <si>
    <t>Total cost / Total incidents</t>
  </si>
  <si>
    <t>1. Distribution by Incident_Type (sorted by count)</t>
  </si>
  <si>
    <t>Count</t>
  </si>
  <si>
    <t>% of total</t>
  </si>
  <si>
    <t>Total</t>
  </si>
  <si>
    <t>2. Average Cost_Impact_USD by Incident_Type (sorted highest first)</t>
  </si>
  <si>
    <t>Incidents</t>
  </si>
  <si>
    <t>Average cost (USD)</t>
  </si>
  <si>
    <t>Total cost (USD)</t>
  </si>
  <si>
    <t>Rank (1 = highest avg)</t>
  </si>
  <si>
    <t>3. Top 3 Incident_Type by average cost (formula-driven)</t>
  </si>
  <si>
    <t>Rank</t>
  </si>
  <si>
    <t>4. Resolution time and cost by Severity</t>
  </si>
  <si>
    <t>Avg Resolution_Time_Days (all records)</t>
  </si>
  <si>
    <t>Avg Resolution_Time_Days (Closed only)</t>
  </si>
  <si>
    <t>SLA target (days)</t>
  </si>
  <si>
    <t>Note: per the Data_Dictionary, Resolution_Time_Days is elapsed days for unresolved incidents, so 'all records' mixes closed and open cases. The Closed-only column is the cleaner comparison.</t>
  </si>
  <si>
    <t>5. Total Cost_Impact_USD by Department</t>
  </si>
  <si>
    <t>% of total cost</t>
  </si>
  <si>
    <t>6. Total Cost_Impact_USD by Responsible_Team</t>
  </si>
  <si>
    <t>7. Incident status distribution</t>
  </si>
  <si>
    <t>Part D2 - SLA_Breached patterns</t>
  </si>
  <si>
    <t>SLA_Breached = Yes/No only exists for Closed incidents; unresolved incidents are Pending (Data_Dictionary). 'Past target' compares elapsed days with SLA_Target_Days.</t>
  </si>
  <si>
    <t>1. SLA outcome by Severity</t>
  </si>
  <si>
    <t>Yes (breached)</t>
  </si>
  <si>
    <t>Breach rate (all incidents)</t>
  </si>
  <si>
    <t>Breach rate (Closed only)</t>
  </si>
  <si>
    <t>Pending already past SLA target</t>
  </si>
  <si>
    <t>Breached + pending past target, % of total</t>
  </si>
  <si>
    <t>All</t>
  </si>
  <si>
    <t>2. SLA outcome by Responsible_Team (all eight teams)</t>
  </si>
  <si>
    <t>3. Breached incidents (Yes) - Responsible_Team x Severity</t>
  </si>
  <si>
    <t>Part D2 - Regulatory_Exposure patterns</t>
  </si>
  <si>
    <t>'None' is the recorded value for incidents with no regulatory exposure.</t>
  </si>
  <si>
    <t>1. Exposure category summary</t>
  </si>
  <si>
    <t>2. Department x Regulatory_Exposure (incident counts)</t>
  </si>
  <si>
    <t>3. Incident_Type with any recorded exposure (Regulatory_Exposure &lt;&gt; None)</t>
  </si>
  <si>
    <t>With exposure</t>
  </si>
  <si>
    <t>% with exposure</t>
  </si>
  <si>
    <t>Part D2 - Third-party involvement</t>
  </si>
  <si>
    <t>Pattern analysis only: an association in a simulated dataset does not prove that third parties caused the difference.</t>
  </si>
  <si>
    <t>Measure</t>
  </si>
  <si>
    <t>Third party = Yes</t>
  </si>
  <si>
    <t>Third party = No</t>
  </si>
  <si>
    <t>Difference (Yes - No)</t>
  </si>
  <si>
    <t>% of all incidents</t>
  </si>
  <si>
    <t>Average Cost_Impact_USD</t>
  </si>
  <si>
    <t>Average cost excluding Incident_Type = Third-Party Breach</t>
  </si>
  <si>
    <t>Average Resolution_Time_Days</t>
  </si>
  <si>
    <t>Critical incidents</t>
  </si>
  <si>
    <t>% Critical</t>
  </si>
  <si>
    <t>Critical + High incidents</t>
  </si>
  <si>
    <t>% Critical + High</t>
  </si>
  <si>
    <t>Escalation: Board / Executive</t>
  </si>
  <si>
    <t>Escalation: Executive / CISO</t>
  </si>
  <si>
    <t>Escalation: CISO / Department Head</t>
  </si>
  <si>
    <t>Escalation: Operational</t>
  </si>
  <si>
    <t>% escalated to Board / Executive</t>
  </si>
  <si>
    <t>Indicative significance test on average cost (Welch's t-test, computed from the data)</t>
  </si>
  <si>
    <t>Variance, third party = Yes</t>
  </si>
  <si>
    <t>Variance, third party = No</t>
  </si>
  <si>
    <t>Welch t statistic</t>
  </si>
  <si>
    <t>Welch degrees of freedom (approx.)</t>
  </si>
  <si>
    <t>Two-tailed p-value (approx.)</t>
  </si>
  <si>
    <t>Incident_Type x third-party involvement (context for the cost gap)</t>
  </si>
  <si>
    <t>% third party</t>
  </si>
  <si>
    <t>Part D2 - Control_Domain analysis</t>
  </si>
  <si>
    <t>Sorted by incident count. Breach rate (all) divides by every incident; Closed-only divides by incidents with a final SLA outcome.</t>
  </si>
  <si>
    <t>Control_Domain summary</t>
  </si>
  <si>
    <t>% of incidents</t>
  </si>
  <si>
    <t>SLA Yes</t>
  </si>
  <si>
    <t>SLA No</t>
  </si>
  <si>
    <t>Avg Resolution_Time_Days</t>
  </si>
  <si>
    <t>Identity &amp; Access Management - Root_Cause breakdown</t>
  </si>
  <si>
    <t>% of IAM incidents</t>
  </si>
  <si>
    <t>Part D3 - Three CISO / Board insights</t>
  </si>
  <si>
    <t>Supporting-data column is formula-driven from the analysis sheets. Order and targets match the written report.</t>
  </si>
  <si>
    <t>#</t>
  </si>
  <si>
    <t>Finding</t>
  </si>
  <si>
    <t>Supporting data (live)</t>
  </si>
  <si>
    <t>Governance significance</t>
  </si>
  <si>
    <t>Accountable / Responsible roles</t>
  </si>
  <si>
    <t>Recommended action</t>
  </si>
  <si>
    <t>Owner</t>
  </si>
  <si>
    <t>Success indicator</t>
  </si>
  <si>
    <t>Critical and High severity incidents frequently miss their SLA targets.</t>
  </si>
  <si>
    <t>Serious incidents stay open longer than the agreed target, extending exposure to risk and delaying Board and regulator visibility.</t>
  </si>
  <si>
    <t>Accountable: CISO and CRO. Responsible: IT Security and DevOps (highest breach rates among the larger teams).</t>
  </si>
  <si>
    <t>Review SLA targets and the escalation process for Critical and High incidents; use a dashboard that automatically escalates cases approaching their SLA limit.</t>
  </si>
  <si>
    <t>CISO (with CRO)</t>
  </si>
  <si>
    <t>Reduce the Critical SLA breach rate from 60.00% to below 30% within two reporting cycles.</t>
  </si>
  <si>
    <t>Insider Threat is infrequent but has the highest average cost.</t>
  </si>
  <si>
    <t>Frequency alone should not drive priority. Insider cases cut across HR, Legal, IT and Security and link to the delayed-access-removal scenario in Part A5.</t>
  </si>
  <si>
    <t>Accountable: CISO and HR. Legal consulted on employment and privacy matters. IT responsible for access removal.</t>
  </si>
  <si>
    <t>Strengthen privileged access reviews, add monitoring of unusual user activity, and connect the HR termination process to IAM so access is removed quickly.</t>
  </si>
  <si>
    <t>CISO with HR</t>
  </si>
  <si>
    <t>100% access removal within two hours of termination; reduce average Insider Threat cost by 30% within 12 months.</t>
  </si>
  <si>
    <t>Identity and Access Management has the most incidents of any control domain.</t>
  </si>
  <si>
    <t>Weak access control affects every department and links to unauthorised access, data exposure and privileged-account misuse. Change Healthcare (Part C) shows the same theme: the first compromised server lacked MFA.</t>
  </si>
  <si>
    <t>Accountable: CISO. Responsible: IT and IAM team. HR involved through joiner-mover-leaver processes.</t>
  </si>
  <si>
    <t>Implement or strengthen Privileged Access Management, enforce phishing-resistant MFA for privileged accounts and sensitive help-desk actions, and run quarterly privileged-access reviews.</t>
  </si>
  <si>
    <t>CISO with IT and HR</t>
  </si>
  <si>
    <t>Reduce IAM incidents by 40% in nine months; 100% MFA coverage for privileged accounts; at least 95% on-time manager attestation in quarterly reviews.</t>
  </si>
  <si>
    <t>Part D charts (native Excel charts linked to the analysis sheets)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</si>
</sst>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0.0%"/>
    <numFmt numFmtId="167" formatCode="0.0000"/>
  </numFmts>
  <fonts count="19">
    <font>
      <sz val="10"/>
      <name val="Arial"/>
      <family val="2"/>
    </font>
    <font>
      <sz val="11"/>
      <name val="Calibri"/>
      <charset val="1"/>
    </font>
    <font>
      <b/>
      <sz val="14"/>
      <color rgb="FF0D3265"/>
      <name val="Arial"/>
      <charset val="1"/>
    </font>
    <font>
      <i/>
      <sz val="10"/>
      <color rgb="FF595959"/>
      <name val="Arial"/>
      <charset val="1"/>
    </font>
    <font>
      <b/>
      <sz val="11"/>
      <color rgb="FF0D3265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5"/>
      <color rgb="FFFFFFFF"/>
      <name val="Carlito"/>
    </font>
    <font>
      <sz val="11"/>
      <name val="Carlito"/>
    </font>
    <font>
      <b/>
      <sz val="11"/>
      <color rgb="FF0D3265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b/>
      <sz val="14"/>
      <color rgb="FF0D3265"/>
      <name val="Carlito"/>
    </font>
    <font>
      <i/>
      <sz val="10"/>
      <color rgb="FF595959"/>
      <name val="Carlito"/>
    </font>
    <font>
      <b/>
      <sz val="10"/>
      <color rgb="FFFFFFFF"/>
      <name val="Carlito"/>
    </font>
    <font>
      <b/>
      <sz val="10"/>
      <name val="Carlito"/>
    </font>
    <font>
      <i/>
      <sz val="11"/>
      <color rgb="FF595959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D3265"/>
        <bgColor rgb="FF333333"/>
      </patternFill>
    </fill>
    <fill>
      <patternFill patternType="solid">
        <fgColor rgb="FFDCE6F1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5" fillId="2" borderId="1" xfId="1" applyFont="1" applyFill="1" applyBorder="1"/>
    <xf numFmtId="0" fontId="6" fillId="0" borderId="1" xfId="1" applyFont="1" applyBorder="1"/>
    <xf numFmtId="3" fontId="6" fillId="0" borderId="1" xfId="1" applyNumberFormat="1" applyFont="1" applyBorder="1"/>
    <xf numFmtId="166" fontId="6" fillId="0" borderId="1" xfId="1" applyNumberFormat="1" applyFont="1" applyBorder="1"/>
    <xf numFmtId="165" fontId="6" fillId="0" borderId="1" xfId="1" applyNumberFormat="1" applyFont="1" applyBorder="1"/>
    <xf numFmtId="0" fontId="5" fillId="2" borderId="1" xfId="1" applyFont="1" applyFill="1" applyBorder="1" applyAlignment="1">
      <alignment horizontal="center" vertical="center" wrapText="1"/>
    </xf>
    <xf numFmtId="0" fontId="7" fillId="3" borderId="1" xfId="1" applyFont="1" applyFill="1" applyBorder="1"/>
    <xf numFmtId="3" fontId="7" fillId="3" borderId="1" xfId="1" applyNumberFormat="1" applyFont="1" applyFill="1" applyBorder="1"/>
    <xf numFmtId="166" fontId="7" fillId="3" borderId="1" xfId="1" applyNumberFormat="1" applyFont="1" applyFill="1" applyBorder="1"/>
    <xf numFmtId="2" fontId="6" fillId="0" borderId="1" xfId="1" applyNumberFormat="1" applyFont="1" applyBorder="1"/>
    <xf numFmtId="165" fontId="7" fillId="3" borderId="1" xfId="1" applyNumberFormat="1" applyFont="1" applyFill="1" applyBorder="1"/>
    <xf numFmtId="0" fontId="11" fillId="2" borderId="0" xfId="1" applyFont="1" applyFill="1" applyAlignment="1">
      <alignment horizontal="center" vertical="center"/>
    </xf>
    <xf numFmtId="0" fontId="12" fillId="0" borderId="0" xfId="0" applyFont="1"/>
    <xf numFmtId="0" fontId="9" fillId="0" borderId="0" xfId="1" applyFont="1"/>
    <xf numFmtId="164" fontId="9" fillId="0" borderId="0" xfId="1" applyNumberFormat="1" applyFont="1"/>
    <xf numFmtId="165" fontId="9" fillId="0" borderId="0" xfId="1" applyNumberFormat="1" applyFont="1"/>
    <xf numFmtId="0" fontId="11" fillId="2" borderId="0" xfId="1" applyFont="1" applyFill="1" applyAlignment="1">
      <alignment horizontal="center" vertical="center" wrapText="1"/>
    </xf>
    <xf numFmtId="0" fontId="9" fillId="0" borderId="0" xfId="1" applyFont="1" applyAlignment="1">
      <alignment wrapText="1"/>
    </xf>
    <xf numFmtId="0" fontId="10" fillId="0" borderId="0" xfId="1" applyFont="1" applyAlignment="1">
      <alignment wrapText="1"/>
    </xf>
    <xf numFmtId="3" fontId="9" fillId="0" borderId="0" xfId="1" applyNumberFormat="1" applyFont="1" applyAlignment="1">
      <alignment vertical="top" wrapText="1"/>
    </xf>
    <xf numFmtId="0" fontId="9" fillId="0" borderId="0" xfId="1" applyFont="1" applyAlignment="1">
      <alignment vertical="top" wrapText="1"/>
    </xf>
    <xf numFmtId="0" fontId="14" fillId="0" borderId="0" xfId="1" applyFont="1"/>
    <xf numFmtId="0" fontId="15" fillId="0" borderId="0" xfId="1" applyFont="1"/>
    <xf numFmtId="0" fontId="10" fillId="0" borderId="0" xfId="1" applyFont="1"/>
    <xf numFmtId="0" fontId="16" fillId="2" borderId="1" xfId="1" applyFont="1" applyFill="1" applyBorder="1" applyAlignment="1">
      <alignment horizontal="center" vertical="center" wrapText="1"/>
    </xf>
    <xf numFmtId="0" fontId="12" fillId="0" borderId="1" xfId="1" applyFont="1" applyBorder="1"/>
    <xf numFmtId="3" fontId="12" fillId="0" borderId="1" xfId="1" applyNumberFormat="1" applyFont="1" applyBorder="1"/>
    <xf numFmtId="166" fontId="12" fillId="0" borderId="1" xfId="1" applyNumberFormat="1" applyFont="1" applyBorder="1"/>
    <xf numFmtId="0" fontId="17" fillId="3" borderId="1" xfId="1" applyFont="1" applyFill="1" applyBorder="1"/>
    <xf numFmtId="3" fontId="17" fillId="3" borderId="1" xfId="1" applyNumberFormat="1" applyFont="1" applyFill="1" applyBorder="1"/>
    <xf numFmtId="166" fontId="17" fillId="3" borderId="1" xfId="1" applyNumberFormat="1" applyFont="1" applyFill="1" applyBorder="1"/>
    <xf numFmtId="165" fontId="12" fillId="0" borderId="1" xfId="1" applyNumberFormat="1" applyFont="1" applyBorder="1"/>
    <xf numFmtId="165" fontId="17" fillId="3" borderId="1" xfId="1" applyNumberFormat="1" applyFont="1" applyFill="1" applyBorder="1"/>
    <xf numFmtId="0" fontId="9" fillId="0" borderId="0" xfId="0" applyFont="1"/>
    <xf numFmtId="0" fontId="18" fillId="0" borderId="0" xfId="1" applyFont="1"/>
    <xf numFmtId="0" fontId="11" fillId="2" borderId="1" xfId="1" applyFont="1" applyFill="1" applyBorder="1" applyAlignment="1">
      <alignment horizontal="center" vertical="center" wrapText="1"/>
    </xf>
    <xf numFmtId="0" fontId="9" fillId="0" borderId="1" xfId="1" applyFont="1" applyBorder="1"/>
    <xf numFmtId="3" fontId="9" fillId="0" borderId="1" xfId="1" applyNumberFormat="1" applyFont="1" applyBorder="1"/>
    <xf numFmtId="166" fontId="9" fillId="0" borderId="1" xfId="1" applyNumberFormat="1" applyFont="1" applyBorder="1"/>
    <xf numFmtId="0" fontId="13" fillId="3" borderId="1" xfId="1" applyFont="1" applyFill="1" applyBorder="1"/>
    <xf numFmtId="3" fontId="13" fillId="3" borderId="1" xfId="1" applyNumberFormat="1" applyFont="1" applyFill="1" applyBorder="1"/>
    <xf numFmtId="166" fontId="13" fillId="3" borderId="1" xfId="1" applyNumberFormat="1" applyFont="1" applyFill="1" applyBorder="1"/>
    <xf numFmtId="165" fontId="9" fillId="0" borderId="1" xfId="1" applyNumberFormat="1" applyFont="1" applyBorder="1"/>
    <xf numFmtId="165" fontId="13" fillId="3" borderId="1" xfId="1" applyNumberFormat="1" applyFont="1" applyFill="1" applyBorder="1"/>
    <xf numFmtId="0" fontId="16" fillId="2" borderId="1" xfId="1" applyFont="1" applyFill="1" applyBorder="1" applyAlignment="1">
      <alignment horizontal="center" wrapText="1"/>
    </xf>
    <xf numFmtId="2" fontId="12" fillId="0" borderId="1" xfId="1" applyNumberFormat="1" applyFont="1" applyBorder="1"/>
    <xf numFmtId="167" fontId="12" fillId="0" borderId="1" xfId="1" applyNumberFormat="1" applyFont="1" applyBorder="1"/>
    <xf numFmtId="2" fontId="17" fillId="3" borderId="1" xfId="1" applyNumberFormat="1" applyFont="1" applyFill="1" applyBorder="1"/>
    <xf numFmtId="0" fontId="12" fillId="0" borderId="1" xfId="1" applyFont="1" applyBorder="1" applyAlignment="1">
      <alignment vertical="top" wrapText="1"/>
    </xf>
    <xf numFmtId="0" fontId="8" fillId="2" borderId="0" xfId="1" applyFont="1" applyFill="1" applyAlignment="1">
      <alignment horizontal="center" vertical="center"/>
    </xf>
    <xf numFmtId="0" fontId="9" fillId="0" borderId="0" xfId="1" applyFont="1" applyAlignment="1">
      <alignment wrapText="1"/>
    </xf>
  </cellXfs>
  <cellStyles count="2">
    <cellStyle name="Normal" xfId="0" builtinId="0"/>
    <cellStyle name="Normal 2" xfId="1" xr:uid="{00000000-0005-0000-0000-000006000000}"/>
  </cellStyles>
  <dxfs count="27"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strike val="0"/>
        <outline val="0"/>
        <shadow val="0"/>
        <u val="none"/>
        <vertAlign val="baseline"/>
        <name val="Carlito"/>
        <scheme val="none"/>
      </font>
    </dxf>
    <dxf>
      <font>
        <b/>
      </font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FFF3CD"/>
        </patternFill>
      </fill>
    </dxf>
    <dxf>
      <font>
        <b/>
      </font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7B1FA2"/>
      <rgbColor rgb="FF156082"/>
      <rgbColor rgb="FFBFBFBF"/>
      <rgbColor rgb="FF8B8B8B"/>
      <rgbColor rgb="FF9999FF"/>
      <rgbColor rgb="FF993366"/>
      <rgbColor rgb="FFFFF3CD"/>
      <rgbColor rgb="FFEAF4FB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8C00"/>
      <rgbColor rgb="FFE97132"/>
      <rgbColor rgb="FF595959"/>
      <rgbColor rgb="FF969696"/>
      <rgbColor rgb="FF0D3265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1: Distribution of Incidents by Type (n=180)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77B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'Core Analysis'!$A$17:$A$28</c:f>
              <c:strCache>
                <c:ptCount val="12"/>
                <c:pt idx="0">
                  <c:v>Malware</c:v>
                </c:pt>
                <c:pt idx="1">
                  <c:v>Phishing</c:v>
                </c:pt>
                <c:pt idx="2">
                  <c:v>Data Leak</c:v>
                </c:pt>
                <c:pt idx="3">
                  <c:v>Unauthorized Access</c:v>
                </c:pt>
                <c:pt idx="4">
                  <c:v>Misconfiguration</c:v>
                </c:pt>
                <c:pt idx="5">
                  <c:v>DDoS</c:v>
                </c:pt>
                <c:pt idx="6">
                  <c:v>Cloud Exposure</c:v>
                </c:pt>
                <c:pt idx="7">
                  <c:v>Credential Theft</c:v>
                </c:pt>
                <c:pt idx="8">
                  <c:v>Third-Party Breach</c:v>
                </c:pt>
                <c:pt idx="9">
                  <c:v>Insider Threat</c:v>
                </c:pt>
                <c:pt idx="10">
                  <c:v>Lost Device</c:v>
                </c:pt>
                <c:pt idx="11">
                  <c:v>Policy Violation</c:v>
                </c:pt>
              </c:strCache>
            </c:strRef>
          </c:cat>
          <c:val>
            <c:numRef>
              <c:f>'Core Analysis'!$B$17:$B$28</c:f>
              <c:numCache>
                <c:formatCode>#,##0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27</c:v>
                </c:pt>
                <c:pt idx="3">
                  <c:v>24</c:v>
                </c:pt>
                <c:pt idx="4">
                  <c:v>19</c:v>
                </c:pt>
                <c:pt idx="5">
                  <c:v>19</c:v>
                </c:pt>
                <c:pt idx="6">
                  <c:v>11</c:v>
                </c:pt>
                <c:pt idx="7">
                  <c:v>9</c:v>
                </c:pt>
                <c:pt idx="8">
                  <c:v>6</c:v>
                </c:pt>
                <c:pt idx="9">
                  <c:v>5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8-404E-AD85-9AF2C3B96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5918"/>
        <c:axId val="59394502"/>
      </c:barChart>
      <c:catAx>
        <c:axId val="15455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Incident_Type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9394502"/>
        <c:crosses val="autoZero"/>
        <c:auto val="1"/>
        <c:lblAlgn val="ctr"/>
        <c:lblOffset val="100"/>
        <c:noMultiLvlLbl val="0"/>
      </c:catAx>
      <c:valAx>
        <c:axId val="5939450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5455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2: Average Resolution Time by Severity (all records)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77B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'Core Analysis'!$A$54:$A$57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'Core Analysis'!$C$54:$C$57</c:f>
              <c:numCache>
                <c:formatCode>0.00</c:formatCode>
                <c:ptCount val="4"/>
                <c:pt idx="0">
                  <c:v>9.8000000000000007</c:v>
                </c:pt>
                <c:pt idx="1">
                  <c:v>12.716981132075471</c:v>
                </c:pt>
                <c:pt idx="2">
                  <c:v>14.737500000000001</c:v>
                </c:pt>
                <c:pt idx="3">
                  <c:v>18.148148148148149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0-4513-8DA1-78CFF36EC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678303"/>
        <c:axId val="53950580"/>
      </c:barChart>
      <c:catAx>
        <c:axId val="6767830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3950580"/>
        <c:crosses val="autoZero"/>
        <c:auto val="1"/>
        <c:lblAlgn val="ctr"/>
        <c:lblOffset val="100"/>
        <c:noMultiLvlLbl val="0"/>
      </c:catAx>
      <c:valAx>
        <c:axId val="53950580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Average days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67678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3: Total Cost Impact by Department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8C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'Core Analysis'!$A$62:$A$70</c:f>
              <c:strCache>
                <c:ptCount val="9"/>
                <c:pt idx="0">
                  <c:v>Finance</c:v>
                </c:pt>
                <c:pt idx="1">
                  <c:v>IT</c:v>
                </c:pt>
                <c:pt idx="2">
                  <c:v>Operations</c:v>
                </c:pt>
                <c:pt idx="3">
                  <c:v>HR</c:v>
                </c:pt>
                <c:pt idx="4">
                  <c:v>Legal</c:v>
                </c:pt>
                <c:pt idx="5">
                  <c:v>Cloud Operations</c:v>
                </c:pt>
                <c:pt idx="6">
                  <c:v>Student Services</c:v>
                </c:pt>
                <c:pt idx="7">
                  <c:v>Academic Services</c:v>
                </c:pt>
                <c:pt idx="8">
                  <c:v>Research</c:v>
                </c:pt>
              </c:strCache>
            </c:strRef>
          </c:cat>
          <c:val>
            <c:numRef>
              <c:f>'Core Analysis'!$C$62:$C$70</c:f>
              <c:numCache>
                <c:formatCode>\$#,##0</c:formatCode>
                <c:ptCount val="9"/>
                <c:pt idx="0">
                  <c:v>1756282</c:v>
                </c:pt>
                <c:pt idx="1">
                  <c:v>1725965</c:v>
                </c:pt>
                <c:pt idx="2">
                  <c:v>1682059</c:v>
                </c:pt>
                <c:pt idx="3">
                  <c:v>1493242</c:v>
                </c:pt>
                <c:pt idx="4">
                  <c:v>1403244</c:v>
                </c:pt>
                <c:pt idx="5">
                  <c:v>663410</c:v>
                </c:pt>
                <c:pt idx="6">
                  <c:v>643730</c:v>
                </c:pt>
                <c:pt idx="7">
                  <c:v>617870</c:v>
                </c:pt>
                <c:pt idx="8">
                  <c:v>307620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5-488E-BC5C-82BBD9169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90848"/>
        <c:axId val="84664504"/>
      </c:barChart>
      <c:catAx>
        <c:axId val="219908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84664504"/>
        <c:crosses val="autoZero"/>
        <c:auto val="1"/>
        <c:lblAlgn val="ctr"/>
        <c:lblOffset val="100"/>
        <c:noMultiLvlLbl val="0"/>
      </c:catAx>
      <c:valAx>
        <c:axId val="84664504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Total cost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19908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4: Average Cost Impact by Incident Type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'Core Analysis'!$A$33:$A$44</c:f>
              <c:strCache>
                <c:ptCount val="12"/>
                <c:pt idx="0">
                  <c:v>Insider Threat</c:v>
                </c:pt>
                <c:pt idx="1">
                  <c:v>Cloud Exposure</c:v>
                </c:pt>
                <c:pt idx="2">
                  <c:v>Third-Party Breach</c:v>
                </c:pt>
                <c:pt idx="3">
                  <c:v>Unauthorized Access</c:v>
                </c:pt>
                <c:pt idx="4">
                  <c:v>Credential Theft</c:v>
                </c:pt>
                <c:pt idx="5">
                  <c:v>DDoS</c:v>
                </c:pt>
                <c:pt idx="6">
                  <c:v>Malware</c:v>
                </c:pt>
                <c:pt idx="7">
                  <c:v>Data Leak</c:v>
                </c:pt>
                <c:pt idx="8">
                  <c:v>Misconfiguration</c:v>
                </c:pt>
                <c:pt idx="9">
                  <c:v>Phishing</c:v>
                </c:pt>
                <c:pt idx="10">
                  <c:v>Lost Device</c:v>
                </c:pt>
                <c:pt idx="11">
                  <c:v>Policy Violation</c:v>
                </c:pt>
              </c:strCache>
            </c:strRef>
          </c:cat>
          <c:val>
            <c:numRef>
              <c:f>'Core Analysis'!$C$33:$C$44</c:f>
              <c:numCache>
                <c:formatCode>\$#,##0</c:formatCode>
                <c:ptCount val="12"/>
                <c:pt idx="0">
                  <c:v>138506</c:v>
                </c:pt>
                <c:pt idx="1">
                  <c:v>94846.363636363632</c:v>
                </c:pt>
                <c:pt idx="2">
                  <c:v>92888.333333333328</c:v>
                </c:pt>
                <c:pt idx="3">
                  <c:v>59281.208333333336</c:v>
                </c:pt>
                <c:pt idx="4">
                  <c:v>56635.555555555555</c:v>
                </c:pt>
                <c:pt idx="5">
                  <c:v>55859.42105263158</c:v>
                </c:pt>
                <c:pt idx="6">
                  <c:v>54576.178571428572</c:v>
                </c:pt>
                <c:pt idx="7">
                  <c:v>53801.370370370372</c:v>
                </c:pt>
                <c:pt idx="8">
                  <c:v>46318.052631578947</c:v>
                </c:pt>
                <c:pt idx="9">
                  <c:v>38061.821428571428</c:v>
                </c:pt>
                <c:pt idx="10">
                  <c:v>20836.666666666668</c:v>
                </c:pt>
                <c:pt idx="11">
                  <c:v>17400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4-4087-9064-252F871A0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8988"/>
        <c:axId val="93150062"/>
      </c:barChart>
      <c:catAx>
        <c:axId val="18289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Incident_Type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93150062"/>
        <c:crosses val="autoZero"/>
        <c:auto val="1"/>
        <c:lblAlgn val="ctr"/>
        <c:lblOffset val="100"/>
        <c:noMultiLvlLbl val="0"/>
      </c:catAx>
      <c:valAx>
        <c:axId val="93150062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Average cost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18289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5: Incident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4A7-41BD-9A9F-530F9C3B41E6}"/>
              </c:ext>
            </c:extLst>
          </c:dPt>
          <c:dPt>
            <c:idx val="1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4A7-41BD-9A9F-530F9C3B41E6}"/>
              </c:ext>
            </c:extLst>
          </c:dPt>
          <c:dPt>
            <c:idx val="2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4A7-41BD-9A9F-530F9C3B41E6}"/>
              </c:ext>
            </c:extLst>
          </c:dPt>
          <c:dPt>
            <c:idx val="3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4A7-41BD-9A9F-530F9C3B41E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A7-41BD-9A9F-530F9C3B41E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A7-41BD-9A9F-530F9C3B41E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A7-41BD-9A9F-530F9C3B41E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4A7-41BD-9A9F-530F9C3B41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'Core Analysis'!$A$87:$A$90</c:f>
              <c:strCache>
                <c:ptCount val="4"/>
                <c:pt idx="0">
                  <c:v>Closed</c:v>
                </c:pt>
                <c:pt idx="1">
                  <c:v>Open</c:v>
                </c:pt>
                <c:pt idx="2">
                  <c:v>In Progress</c:v>
                </c:pt>
                <c:pt idx="3">
                  <c:v>On Hold</c:v>
                </c:pt>
              </c:strCache>
            </c:strRef>
          </c:cat>
          <c:val>
            <c:numRef>
              <c:f>'Core Analysis'!$B$87:$B$90</c:f>
              <c:numCache>
                <c:formatCode>#,##0</c:formatCode>
                <c:ptCount val="4"/>
                <c:pt idx="0">
                  <c:v>117</c:v>
                </c:pt>
                <c:pt idx="1">
                  <c:v>23</c:v>
                </c:pt>
                <c:pt idx="2">
                  <c:v>23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4A7-41BD-9A9F-530F9C3B4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6: SLA Breach Pattern by Severity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SLA_Analysis!$B$5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SLA_Analysis!$A$6:$A$9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SLA_Analysis!$B$6:$B$9</c:f>
              <c:numCache>
                <c:formatCode>#,##0</c:formatCode>
                <c:ptCount val="4"/>
                <c:pt idx="0">
                  <c:v>5</c:v>
                </c:pt>
                <c:pt idx="1">
                  <c:v>9</c:v>
                </c:pt>
                <c:pt idx="2">
                  <c:v>32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F-4012-A097-8160E811B7C1}"/>
            </c:ext>
          </c:extLst>
        </c:ser>
        <c:ser>
          <c:idx val="1"/>
          <c:order val="1"/>
          <c:tx>
            <c:strRef>
              <c:f>SLA_Analysis!$C$5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SLA_Analysis!$A$6:$A$9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SLA_Analysis!$C$6:$C$9</c:f>
              <c:numCache>
                <c:formatCode>#,##0</c:formatCode>
                <c:ptCount val="4"/>
                <c:pt idx="0">
                  <c:v>3</c:v>
                </c:pt>
                <c:pt idx="1">
                  <c:v>19</c:v>
                </c:pt>
                <c:pt idx="2">
                  <c:v>31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EF-4012-A097-8160E811B7C1}"/>
            </c:ext>
          </c:extLst>
        </c:ser>
        <c:ser>
          <c:idx val="2"/>
          <c:order val="2"/>
          <c:tx>
            <c:strRef>
              <c:f>SLA_Analysis!$D$5</c:f>
              <c:strCache>
                <c:ptCount val="1"/>
                <c:pt idx="0">
                  <c:v>Yes (breached)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SLA_Analysis!$A$6:$A$9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SLA_Analysis!$D$6:$D$9</c:f>
              <c:numCache>
                <c:formatCode>#,##0</c:formatCode>
                <c:ptCount val="4"/>
                <c:pt idx="0">
                  <c:v>12</c:v>
                </c:pt>
                <c:pt idx="1">
                  <c:v>25</c:v>
                </c:pt>
                <c:pt idx="2">
                  <c:v>17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F-4012-A097-8160E811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549092"/>
        <c:axId val="29003838"/>
      </c:barChart>
      <c:catAx>
        <c:axId val="295490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Severity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9003838"/>
        <c:crosses val="autoZero"/>
        <c:auto val="1"/>
        <c:lblAlgn val="ctr"/>
        <c:lblOffset val="100"/>
        <c:noMultiLvlLbl val="0"/>
      </c:catAx>
      <c:valAx>
        <c:axId val="29003838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295490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Chart 7: Incidents by Control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B1F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Control_Domain!$A$6:$A$16</c:f>
              <c:strCache>
                <c:ptCount val="11"/>
                <c:pt idx="0">
                  <c:v>Identity &amp; Access Management</c:v>
                </c:pt>
                <c:pt idx="1">
                  <c:v>Endpoint Security</c:v>
                </c:pt>
                <c:pt idx="2">
                  <c:v>Security Awareness</c:v>
                </c:pt>
                <c:pt idx="3">
                  <c:v>Data Protection</c:v>
                </c:pt>
                <c:pt idx="4">
                  <c:v>Configuration Management</c:v>
                </c:pt>
                <c:pt idx="5">
                  <c:v>Network Resilience</c:v>
                </c:pt>
                <c:pt idx="6">
                  <c:v>Cloud Security</c:v>
                </c:pt>
                <c:pt idx="7">
                  <c:v>Third-Party Risk</c:v>
                </c:pt>
                <c:pt idx="8">
                  <c:v>Privileged Access &amp; Monitoring</c:v>
                </c:pt>
                <c:pt idx="9">
                  <c:v>Asset &amp; Endpoint Security</c:v>
                </c:pt>
                <c:pt idx="10">
                  <c:v>Policy Compliance</c:v>
                </c:pt>
              </c:strCache>
            </c:strRef>
          </c:cat>
          <c:val>
            <c:numRef>
              <c:f>Control_Domain!$B$6:$B$16</c:f>
              <c:numCache>
                <c:formatCode>#,##0</c:formatCode>
                <c:ptCount val="11"/>
                <c:pt idx="0">
                  <c:v>33</c:v>
                </c:pt>
                <c:pt idx="1">
                  <c:v>28</c:v>
                </c:pt>
                <c:pt idx="2">
                  <c:v>28</c:v>
                </c:pt>
                <c:pt idx="3">
                  <c:v>27</c:v>
                </c:pt>
                <c:pt idx="4">
                  <c:v>19</c:v>
                </c:pt>
                <c:pt idx="5">
                  <c:v>19</c:v>
                </c:pt>
                <c:pt idx="6">
                  <c:v>11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A-477A-816D-183650312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352036"/>
        <c:axId val="47571966"/>
      </c:barChart>
      <c:catAx>
        <c:axId val="5135203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Control_Domain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47571966"/>
        <c:crosses val="autoZero"/>
        <c:auto val="1"/>
        <c:lblAlgn val="ctr"/>
        <c:lblOffset val="100"/>
        <c:noMultiLvlLbl val="0"/>
      </c:catAx>
      <c:valAx>
        <c:axId val="4757196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Incidents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n-US"/>
          </a:p>
        </c:txPr>
        <c:crossAx val="513520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160560</xdr:rowOff>
    </xdr:from>
    <xdr:to>
      <xdr:col>7</xdr:col>
      <xdr:colOff>198720</xdr:colOff>
      <xdr:row>18</xdr:row>
      <xdr:rowOff>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</xdr:row>
      <xdr:rowOff>160560</xdr:rowOff>
    </xdr:from>
    <xdr:to>
      <xdr:col>17</xdr:col>
      <xdr:colOff>198720</xdr:colOff>
      <xdr:row>18</xdr:row>
      <xdr:rowOff>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7</xdr:col>
      <xdr:colOff>198720</xdr:colOff>
      <xdr:row>36</xdr:row>
      <xdr:rowOff>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160560</xdr:rowOff>
    </xdr:from>
    <xdr:to>
      <xdr:col>17</xdr:col>
      <xdr:colOff>198720</xdr:colOff>
      <xdr:row>36</xdr:row>
      <xdr:rowOff>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37</xdr:row>
      <xdr:rowOff>160560</xdr:rowOff>
    </xdr:from>
    <xdr:to>
      <xdr:col>7</xdr:col>
      <xdr:colOff>198720</xdr:colOff>
      <xdr:row>54</xdr:row>
      <xdr:rowOff>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37</xdr:row>
      <xdr:rowOff>160560</xdr:rowOff>
    </xdr:from>
    <xdr:to>
      <xdr:col>17</xdr:col>
      <xdr:colOff>198720</xdr:colOff>
      <xdr:row>54</xdr:row>
      <xdr:rowOff>630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55</xdr:row>
      <xdr:rowOff>160560</xdr:rowOff>
    </xdr:from>
    <xdr:to>
      <xdr:col>11</xdr:col>
      <xdr:colOff>415440</xdr:colOff>
      <xdr:row>72</xdr:row>
      <xdr:rowOff>630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cidentDataTable" displayName="IncidentDataTable" ref="A1:P181" totalsRowShown="0" headerRowDxfId="22" dataDxfId="21">
  <tableColumns count="16">
    <tableColumn id="1" xr3:uid="{00000000-0010-0000-0000-000001000000}" name="Incident_ID" dataDxfId="20"/>
    <tableColumn id="2" xr3:uid="{00000000-0010-0000-0000-000002000000}" name="Date" dataDxfId="19"/>
    <tableColumn id="3" xr3:uid="{00000000-0010-0000-0000-000003000000}" name="Incident_Type" dataDxfId="18"/>
    <tableColumn id="4" xr3:uid="{00000000-0010-0000-0000-000004000000}" name="Severity" dataDxfId="17"/>
    <tableColumn id="5" xr3:uid="{00000000-0010-0000-0000-000005000000}" name="Status" dataDxfId="16"/>
    <tableColumn id="6" xr3:uid="{00000000-0010-0000-0000-000006000000}" name="Department" dataDxfId="15"/>
    <tableColumn id="7" xr3:uid="{00000000-0010-0000-0000-000007000000}" name="Responsible_Team" dataDxfId="14"/>
    <tableColumn id="8" xr3:uid="{00000000-0010-0000-0000-000008000000}" name="Resolution_Time_Days" dataDxfId="13"/>
    <tableColumn id="9" xr3:uid="{00000000-0010-0000-0000-000009000000}" name="Cost_Impact_USD" dataDxfId="12"/>
    <tableColumn id="10" xr3:uid="{00000000-0010-0000-0000-00000A000000}" name="Root_Cause" dataDxfId="11"/>
    <tableColumn id="11" xr3:uid="{00000000-0010-0000-0000-00000B000000}" name="Control_Domain" dataDxfId="10"/>
    <tableColumn id="12" xr3:uid="{00000000-0010-0000-0000-00000C000000}" name="Regulatory_Exposure" dataDxfId="9"/>
    <tableColumn id="13" xr3:uid="{00000000-0010-0000-0000-00000D000000}" name="Escalation_Level" dataDxfId="8"/>
    <tableColumn id="14" xr3:uid="{00000000-0010-0000-0000-00000E000000}" name="Third_Party_Involved" dataDxfId="7"/>
    <tableColumn id="15" xr3:uid="{00000000-0010-0000-0000-00000F000000}" name="SLA_Target_Days" dataDxfId="6"/>
    <tableColumn id="16" xr3:uid="{00000000-0010-0000-0000-000010000000}" name="SLA_Breached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DataDictionaryTable" displayName="DataDictionaryTable" ref="A1:C17" totalsRowShown="0" headerRowDxfId="4" dataDxfId="3">
  <tableColumns count="3">
    <tableColumn id="1" xr3:uid="{00000000-0010-0000-0100-000001000000}" name="Field" dataDxfId="2"/>
    <tableColumn id="2" xr3:uid="{00000000-0010-0000-0100-000002000000}" name="Description" dataDxfId="1"/>
    <tableColumn id="3" xr3:uid="{00000000-0010-0000-0100-000003000000}" name="Example / Valu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0"/>
  <sheetViews>
    <sheetView zoomScaleNormal="100" workbookViewId="0">
      <selection activeCell="E14" sqref="E14"/>
    </sheetView>
  </sheetViews>
  <sheetFormatPr defaultColWidth="8.7109375" defaultRowHeight="12.75"/>
  <cols>
    <col min="1" max="2" width="12" customWidth="1"/>
    <col min="3" max="3" width="20" customWidth="1"/>
    <col min="4" max="4" width="11" customWidth="1"/>
    <col min="5" max="5" width="13" customWidth="1"/>
    <col min="6" max="6" width="18" customWidth="1"/>
    <col min="7" max="8" width="20" customWidth="1"/>
    <col min="9" max="9" width="17" customWidth="1"/>
    <col min="10" max="10" width="24" customWidth="1"/>
    <col min="11" max="11" width="26" customWidth="1"/>
    <col min="12" max="12" width="20" customWidth="1"/>
    <col min="13" max="13" width="23" customWidth="1"/>
    <col min="14" max="14" width="18" customWidth="1"/>
    <col min="15" max="15" width="16" customWidth="1"/>
    <col min="16" max="16" width="14" customWidth="1"/>
  </cols>
  <sheetData>
    <row r="1" spans="1:17" ht="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6"/>
    </row>
    <row r="2" spans="1:17" ht="14.25">
      <c r="A2" s="17" t="s">
        <v>16</v>
      </c>
      <c r="B2" s="18">
        <v>45428</v>
      </c>
      <c r="C2" s="17" t="s">
        <v>17</v>
      </c>
      <c r="D2" s="17" t="s">
        <v>18</v>
      </c>
      <c r="E2" s="17" t="s">
        <v>19</v>
      </c>
      <c r="F2" s="17" t="s">
        <v>20</v>
      </c>
      <c r="G2" s="17" t="s">
        <v>21</v>
      </c>
      <c r="H2" s="17">
        <v>16</v>
      </c>
      <c r="I2" s="19">
        <v>94101</v>
      </c>
      <c r="J2" s="17" t="s">
        <v>22</v>
      </c>
      <c r="K2" s="17" t="s">
        <v>23</v>
      </c>
      <c r="L2" s="17" t="s">
        <v>24</v>
      </c>
      <c r="M2" s="17" t="s">
        <v>25</v>
      </c>
      <c r="N2" s="17" t="s">
        <v>26</v>
      </c>
      <c r="O2" s="17">
        <v>14</v>
      </c>
      <c r="P2" s="17" t="s">
        <v>27</v>
      </c>
      <c r="Q2" s="16"/>
    </row>
    <row r="3" spans="1:17" ht="14.25">
      <c r="A3" s="17" t="s">
        <v>28</v>
      </c>
      <c r="B3" s="18">
        <v>45432</v>
      </c>
      <c r="C3" s="17" t="s">
        <v>29</v>
      </c>
      <c r="D3" s="17" t="s">
        <v>30</v>
      </c>
      <c r="E3" s="17" t="s">
        <v>31</v>
      </c>
      <c r="F3" s="17" t="s">
        <v>32</v>
      </c>
      <c r="G3" s="17" t="s">
        <v>21</v>
      </c>
      <c r="H3" s="17">
        <v>17</v>
      </c>
      <c r="I3" s="19">
        <v>85119</v>
      </c>
      <c r="J3" s="17" t="s">
        <v>33</v>
      </c>
      <c r="K3" s="17" t="s">
        <v>34</v>
      </c>
      <c r="L3" s="17" t="s">
        <v>35</v>
      </c>
      <c r="M3" s="17" t="s">
        <v>36</v>
      </c>
      <c r="N3" s="17" t="s">
        <v>37</v>
      </c>
      <c r="O3" s="17">
        <v>7</v>
      </c>
      <c r="P3" s="17" t="s">
        <v>27</v>
      </c>
      <c r="Q3" s="16"/>
    </row>
    <row r="4" spans="1:17" ht="14.25">
      <c r="A4" s="17" t="s">
        <v>38</v>
      </c>
      <c r="B4" s="18">
        <v>45653</v>
      </c>
      <c r="C4" s="17" t="s">
        <v>17</v>
      </c>
      <c r="D4" s="17" t="s">
        <v>30</v>
      </c>
      <c r="E4" s="17" t="s">
        <v>39</v>
      </c>
      <c r="F4" s="17" t="s">
        <v>40</v>
      </c>
      <c r="G4" s="17" t="s">
        <v>41</v>
      </c>
      <c r="H4" s="17">
        <v>8</v>
      </c>
      <c r="I4" s="19">
        <v>99720</v>
      </c>
      <c r="J4" s="17" t="s">
        <v>42</v>
      </c>
      <c r="K4" s="17" t="s">
        <v>23</v>
      </c>
      <c r="L4" s="17" t="s">
        <v>35</v>
      </c>
      <c r="M4" s="17" t="s">
        <v>36</v>
      </c>
      <c r="N4" s="17" t="s">
        <v>26</v>
      </c>
      <c r="O4" s="17">
        <v>7</v>
      </c>
      <c r="P4" s="17" t="s">
        <v>37</v>
      </c>
      <c r="Q4" s="16"/>
    </row>
    <row r="5" spans="1:17" ht="14.25">
      <c r="A5" s="17" t="s">
        <v>43</v>
      </c>
      <c r="B5" s="18">
        <v>45405</v>
      </c>
      <c r="C5" s="17" t="s">
        <v>17</v>
      </c>
      <c r="D5" s="17" t="s">
        <v>30</v>
      </c>
      <c r="E5" s="17" t="s">
        <v>39</v>
      </c>
      <c r="F5" s="17" t="s">
        <v>40</v>
      </c>
      <c r="G5" s="17" t="s">
        <v>44</v>
      </c>
      <c r="H5" s="17">
        <v>13</v>
      </c>
      <c r="I5" s="19">
        <v>80858</v>
      </c>
      <c r="J5" s="17" t="s">
        <v>22</v>
      </c>
      <c r="K5" s="17" t="s">
        <v>23</v>
      </c>
      <c r="L5" s="17" t="s">
        <v>35</v>
      </c>
      <c r="M5" s="17" t="s">
        <v>36</v>
      </c>
      <c r="N5" s="17" t="s">
        <v>26</v>
      </c>
      <c r="O5" s="17">
        <v>7</v>
      </c>
      <c r="P5" s="17" t="s">
        <v>37</v>
      </c>
      <c r="Q5" s="16"/>
    </row>
    <row r="6" spans="1:17" ht="14.25">
      <c r="A6" s="17" t="s">
        <v>45</v>
      </c>
      <c r="B6" s="18">
        <v>45348</v>
      </c>
      <c r="C6" s="17" t="s">
        <v>46</v>
      </c>
      <c r="D6" s="17" t="s">
        <v>30</v>
      </c>
      <c r="E6" s="17" t="s">
        <v>39</v>
      </c>
      <c r="F6" s="17" t="s">
        <v>32</v>
      </c>
      <c r="G6" s="17" t="s">
        <v>41</v>
      </c>
      <c r="H6" s="17">
        <v>26</v>
      </c>
      <c r="I6" s="19">
        <v>14076</v>
      </c>
      <c r="J6" s="17" t="s">
        <v>47</v>
      </c>
      <c r="K6" s="17" t="s">
        <v>48</v>
      </c>
      <c r="L6" s="17" t="s">
        <v>49</v>
      </c>
      <c r="M6" s="17" t="s">
        <v>36</v>
      </c>
      <c r="N6" s="17" t="s">
        <v>26</v>
      </c>
      <c r="O6" s="17">
        <v>7</v>
      </c>
      <c r="P6" s="17" t="s">
        <v>37</v>
      </c>
      <c r="Q6" s="16"/>
    </row>
    <row r="7" spans="1:17" ht="14.25">
      <c r="A7" s="17" t="s">
        <v>50</v>
      </c>
      <c r="B7" s="18">
        <v>45321</v>
      </c>
      <c r="C7" s="17" t="s">
        <v>46</v>
      </c>
      <c r="D7" s="17" t="s">
        <v>51</v>
      </c>
      <c r="E7" s="17" t="s">
        <v>39</v>
      </c>
      <c r="F7" s="17" t="s">
        <v>20</v>
      </c>
      <c r="G7" s="17" t="s">
        <v>44</v>
      </c>
      <c r="H7" s="17">
        <v>27</v>
      </c>
      <c r="I7" s="19">
        <v>67086</v>
      </c>
      <c r="J7" s="17" t="s">
        <v>52</v>
      </c>
      <c r="K7" s="17" t="s">
        <v>48</v>
      </c>
      <c r="L7" s="17" t="s">
        <v>53</v>
      </c>
      <c r="M7" s="17" t="s">
        <v>53</v>
      </c>
      <c r="N7" s="17" t="s">
        <v>26</v>
      </c>
      <c r="O7" s="17">
        <v>30</v>
      </c>
      <c r="P7" s="17" t="s">
        <v>26</v>
      </c>
      <c r="Q7" s="16"/>
    </row>
    <row r="8" spans="1:17" ht="14.25">
      <c r="A8" s="17" t="s">
        <v>54</v>
      </c>
      <c r="B8" s="18">
        <v>45430</v>
      </c>
      <c r="C8" s="17" t="s">
        <v>55</v>
      </c>
      <c r="D8" s="17" t="s">
        <v>30</v>
      </c>
      <c r="E8" s="17" t="s">
        <v>39</v>
      </c>
      <c r="F8" s="17" t="s">
        <v>32</v>
      </c>
      <c r="G8" s="17" t="s">
        <v>44</v>
      </c>
      <c r="H8" s="17">
        <v>23</v>
      </c>
      <c r="I8" s="19">
        <v>41743</v>
      </c>
      <c r="J8" s="17" t="s">
        <v>56</v>
      </c>
      <c r="K8" s="17" t="s">
        <v>57</v>
      </c>
      <c r="L8" s="17" t="s">
        <v>58</v>
      </c>
      <c r="M8" s="17" t="s">
        <v>36</v>
      </c>
      <c r="N8" s="17" t="s">
        <v>26</v>
      </c>
      <c r="O8" s="17">
        <v>7</v>
      </c>
      <c r="P8" s="17" t="s">
        <v>37</v>
      </c>
      <c r="Q8" s="16"/>
    </row>
    <row r="9" spans="1:17" ht="14.25">
      <c r="A9" s="17" t="s">
        <v>59</v>
      </c>
      <c r="B9" s="18">
        <v>45342</v>
      </c>
      <c r="C9" s="17" t="s">
        <v>60</v>
      </c>
      <c r="D9" s="17" t="s">
        <v>51</v>
      </c>
      <c r="E9" s="17" t="s">
        <v>39</v>
      </c>
      <c r="F9" s="17" t="s">
        <v>40</v>
      </c>
      <c r="G9" s="17" t="s">
        <v>21</v>
      </c>
      <c r="H9" s="17">
        <v>13</v>
      </c>
      <c r="I9" s="19">
        <v>64337</v>
      </c>
      <c r="J9" s="17" t="s">
        <v>61</v>
      </c>
      <c r="K9" s="17" t="s">
        <v>62</v>
      </c>
      <c r="L9" s="17" t="s">
        <v>58</v>
      </c>
      <c r="M9" s="17" t="s">
        <v>53</v>
      </c>
      <c r="N9" s="17" t="s">
        <v>26</v>
      </c>
      <c r="O9" s="17">
        <v>30</v>
      </c>
      <c r="P9" s="17" t="s">
        <v>26</v>
      </c>
      <c r="Q9" s="16"/>
    </row>
    <row r="10" spans="1:17" ht="14.25">
      <c r="A10" s="17" t="s">
        <v>63</v>
      </c>
      <c r="B10" s="18">
        <v>45558</v>
      </c>
      <c r="C10" s="17" t="s">
        <v>46</v>
      </c>
      <c r="D10" s="17" t="s">
        <v>18</v>
      </c>
      <c r="E10" s="17" t="s">
        <v>64</v>
      </c>
      <c r="F10" s="17" t="s">
        <v>40</v>
      </c>
      <c r="G10" s="17" t="s">
        <v>21</v>
      </c>
      <c r="H10" s="17">
        <v>10</v>
      </c>
      <c r="I10" s="19">
        <v>96050</v>
      </c>
      <c r="J10" s="17" t="s">
        <v>52</v>
      </c>
      <c r="K10" s="17" t="s">
        <v>48</v>
      </c>
      <c r="L10" s="17" t="s">
        <v>35</v>
      </c>
      <c r="M10" s="17" t="s">
        <v>25</v>
      </c>
      <c r="N10" s="17" t="s">
        <v>26</v>
      </c>
      <c r="O10" s="17">
        <v>14</v>
      </c>
      <c r="P10" s="17" t="s">
        <v>27</v>
      </c>
      <c r="Q10" s="16"/>
    </row>
    <row r="11" spans="1:17" ht="14.25">
      <c r="A11" s="17" t="s">
        <v>65</v>
      </c>
      <c r="B11" s="18">
        <v>45310</v>
      </c>
      <c r="C11" s="17" t="s">
        <v>55</v>
      </c>
      <c r="D11" s="17" t="s">
        <v>30</v>
      </c>
      <c r="E11" s="17" t="s">
        <v>19</v>
      </c>
      <c r="F11" s="17" t="s">
        <v>32</v>
      </c>
      <c r="G11" s="17" t="s">
        <v>21</v>
      </c>
      <c r="H11" s="17">
        <v>12</v>
      </c>
      <c r="I11" s="19">
        <v>24146</v>
      </c>
      <c r="J11" s="17" t="s">
        <v>66</v>
      </c>
      <c r="K11" s="17" t="s">
        <v>57</v>
      </c>
      <c r="L11" s="17" t="s">
        <v>49</v>
      </c>
      <c r="M11" s="17" t="s">
        <v>36</v>
      </c>
      <c r="N11" s="17" t="s">
        <v>26</v>
      </c>
      <c r="O11" s="17">
        <v>7</v>
      </c>
      <c r="P11" s="17" t="s">
        <v>27</v>
      </c>
      <c r="Q11" s="16"/>
    </row>
    <row r="12" spans="1:17" ht="14.25">
      <c r="A12" s="17" t="s">
        <v>67</v>
      </c>
      <c r="B12" s="18">
        <v>45649</v>
      </c>
      <c r="C12" s="17" t="s">
        <v>68</v>
      </c>
      <c r="D12" s="17" t="s">
        <v>30</v>
      </c>
      <c r="E12" s="17" t="s">
        <v>39</v>
      </c>
      <c r="F12" s="17" t="s">
        <v>32</v>
      </c>
      <c r="G12" s="17" t="s">
        <v>44</v>
      </c>
      <c r="H12" s="17">
        <v>21</v>
      </c>
      <c r="I12" s="19">
        <v>95926</v>
      </c>
      <c r="J12" s="17" t="s">
        <v>69</v>
      </c>
      <c r="K12" s="17" t="s">
        <v>70</v>
      </c>
      <c r="L12" s="17" t="s">
        <v>58</v>
      </c>
      <c r="M12" s="17" t="s">
        <v>36</v>
      </c>
      <c r="N12" s="17" t="s">
        <v>37</v>
      </c>
      <c r="O12" s="17">
        <v>7</v>
      </c>
      <c r="P12" s="17" t="s">
        <v>37</v>
      </c>
      <c r="Q12" s="16"/>
    </row>
    <row r="13" spans="1:17" ht="14.25">
      <c r="A13" s="17" t="s">
        <v>71</v>
      </c>
      <c r="B13" s="18">
        <v>45300</v>
      </c>
      <c r="C13" s="17" t="s">
        <v>68</v>
      </c>
      <c r="D13" s="17" t="s">
        <v>18</v>
      </c>
      <c r="E13" s="17" t="s">
        <v>39</v>
      </c>
      <c r="F13" s="17" t="s">
        <v>72</v>
      </c>
      <c r="G13" s="17" t="s">
        <v>44</v>
      </c>
      <c r="H13" s="17">
        <v>17</v>
      </c>
      <c r="I13" s="19">
        <v>3268</v>
      </c>
      <c r="J13" s="17" t="s">
        <v>69</v>
      </c>
      <c r="K13" s="17" t="s">
        <v>70</v>
      </c>
      <c r="L13" s="17" t="s">
        <v>35</v>
      </c>
      <c r="M13" s="17" t="s">
        <v>25</v>
      </c>
      <c r="N13" s="17" t="s">
        <v>26</v>
      </c>
      <c r="O13" s="17">
        <v>14</v>
      </c>
      <c r="P13" s="17" t="s">
        <v>37</v>
      </c>
      <c r="Q13" s="16"/>
    </row>
    <row r="14" spans="1:17" ht="14.25">
      <c r="A14" s="17" t="s">
        <v>73</v>
      </c>
      <c r="B14" s="18">
        <v>45323</v>
      </c>
      <c r="C14" s="17" t="s">
        <v>17</v>
      </c>
      <c r="D14" s="17" t="s">
        <v>18</v>
      </c>
      <c r="E14" s="17" t="s">
        <v>39</v>
      </c>
      <c r="F14" s="17" t="s">
        <v>74</v>
      </c>
      <c r="G14" s="17" t="s">
        <v>21</v>
      </c>
      <c r="H14" s="17">
        <v>18</v>
      </c>
      <c r="I14" s="19">
        <v>6733</v>
      </c>
      <c r="J14" s="17" t="s">
        <v>22</v>
      </c>
      <c r="K14" s="17" t="s">
        <v>23</v>
      </c>
      <c r="L14" s="17" t="s">
        <v>75</v>
      </c>
      <c r="M14" s="17" t="s">
        <v>25</v>
      </c>
      <c r="N14" s="17" t="s">
        <v>26</v>
      </c>
      <c r="O14" s="17">
        <v>14</v>
      </c>
      <c r="P14" s="17" t="s">
        <v>37</v>
      </c>
      <c r="Q14" s="16"/>
    </row>
    <row r="15" spans="1:17" ht="14.25">
      <c r="A15" s="17" t="s">
        <v>76</v>
      </c>
      <c r="B15" s="18">
        <v>45554</v>
      </c>
      <c r="C15" s="17" t="s">
        <v>60</v>
      </c>
      <c r="D15" s="17" t="s">
        <v>18</v>
      </c>
      <c r="E15" s="17" t="s">
        <v>19</v>
      </c>
      <c r="F15" s="17" t="s">
        <v>72</v>
      </c>
      <c r="G15" s="17" t="s">
        <v>44</v>
      </c>
      <c r="H15" s="17">
        <v>25</v>
      </c>
      <c r="I15" s="19">
        <v>96403</v>
      </c>
      <c r="J15" s="17" t="s">
        <v>77</v>
      </c>
      <c r="K15" s="17" t="s">
        <v>62</v>
      </c>
      <c r="L15" s="17" t="s">
        <v>35</v>
      </c>
      <c r="M15" s="17" t="s">
        <v>25</v>
      </c>
      <c r="N15" s="17" t="s">
        <v>26</v>
      </c>
      <c r="O15" s="17">
        <v>14</v>
      </c>
      <c r="P15" s="17" t="s">
        <v>27</v>
      </c>
      <c r="Q15" s="16"/>
    </row>
    <row r="16" spans="1:17" ht="14.25">
      <c r="A16" s="17" t="s">
        <v>78</v>
      </c>
      <c r="B16" s="18">
        <v>45344</v>
      </c>
      <c r="C16" s="17" t="s">
        <v>68</v>
      </c>
      <c r="D16" s="17" t="s">
        <v>18</v>
      </c>
      <c r="E16" s="17" t="s">
        <v>39</v>
      </c>
      <c r="F16" s="17" t="s">
        <v>72</v>
      </c>
      <c r="G16" s="17" t="s">
        <v>41</v>
      </c>
      <c r="H16" s="17">
        <v>15</v>
      </c>
      <c r="I16" s="19">
        <v>19903</v>
      </c>
      <c r="J16" s="17" t="s">
        <v>79</v>
      </c>
      <c r="K16" s="17" t="s">
        <v>70</v>
      </c>
      <c r="L16" s="17" t="s">
        <v>35</v>
      </c>
      <c r="M16" s="17" t="s">
        <v>25</v>
      </c>
      <c r="N16" s="17" t="s">
        <v>26</v>
      </c>
      <c r="O16" s="17">
        <v>14</v>
      </c>
      <c r="P16" s="17" t="s">
        <v>37</v>
      </c>
      <c r="Q16" s="16"/>
    </row>
    <row r="17" spans="1:17" ht="14.25">
      <c r="A17" s="17" t="s">
        <v>80</v>
      </c>
      <c r="B17" s="18">
        <v>45508</v>
      </c>
      <c r="C17" s="17" t="s">
        <v>55</v>
      </c>
      <c r="D17" s="17" t="s">
        <v>18</v>
      </c>
      <c r="E17" s="17" t="s">
        <v>39</v>
      </c>
      <c r="F17" s="17" t="s">
        <v>32</v>
      </c>
      <c r="G17" s="17" t="s">
        <v>44</v>
      </c>
      <c r="H17" s="17">
        <v>5</v>
      </c>
      <c r="I17" s="19">
        <v>1306</v>
      </c>
      <c r="J17" s="17" t="s">
        <v>66</v>
      </c>
      <c r="K17" s="17" t="s">
        <v>57</v>
      </c>
      <c r="L17" s="17" t="s">
        <v>58</v>
      </c>
      <c r="M17" s="17" t="s">
        <v>25</v>
      </c>
      <c r="N17" s="17" t="s">
        <v>26</v>
      </c>
      <c r="O17" s="17">
        <v>14</v>
      </c>
      <c r="P17" s="17" t="s">
        <v>26</v>
      </c>
      <c r="Q17" s="16"/>
    </row>
    <row r="18" spans="1:17" ht="14.25">
      <c r="A18" s="17" t="s">
        <v>81</v>
      </c>
      <c r="B18" s="18">
        <v>45297</v>
      </c>
      <c r="C18" s="17" t="s">
        <v>60</v>
      </c>
      <c r="D18" s="17" t="s">
        <v>51</v>
      </c>
      <c r="E18" s="17" t="s">
        <v>39</v>
      </c>
      <c r="F18" s="17" t="s">
        <v>40</v>
      </c>
      <c r="G18" s="17" t="s">
        <v>41</v>
      </c>
      <c r="H18" s="17">
        <v>14</v>
      </c>
      <c r="I18" s="19">
        <v>25220</v>
      </c>
      <c r="J18" s="17" t="s">
        <v>61</v>
      </c>
      <c r="K18" s="17" t="s">
        <v>62</v>
      </c>
      <c r="L18" s="17" t="s">
        <v>58</v>
      </c>
      <c r="M18" s="17" t="s">
        <v>53</v>
      </c>
      <c r="N18" s="17" t="s">
        <v>26</v>
      </c>
      <c r="O18" s="17">
        <v>30</v>
      </c>
      <c r="P18" s="17" t="s">
        <v>26</v>
      </c>
      <c r="Q18" s="16"/>
    </row>
    <row r="19" spans="1:17" ht="14.25">
      <c r="A19" s="17" t="s">
        <v>82</v>
      </c>
      <c r="B19" s="18">
        <v>45505</v>
      </c>
      <c r="C19" s="17" t="s">
        <v>17</v>
      </c>
      <c r="D19" s="17" t="s">
        <v>18</v>
      </c>
      <c r="E19" s="17" t="s">
        <v>39</v>
      </c>
      <c r="F19" s="17" t="s">
        <v>40</v>
      </c>
      <c r="G19" s="17" t="s">
        <v>83</v>
      </c>
      <c r="H19" s="17">
        <v>14</v>
      </c>
      <c r="I19" s="19">
        <v>89091</v>
      </c>
      <c r="J19" s="17" t="s">
        <v>42</v>
      </c>
      <c r="K19" s="17" t="s">
        <v>23</v>
      </c>
      <c r="L19" s="17" t="s">
        <v>35</v>
      </c>
      <c r="M19" s="17" t="s">
        <v>25</v>
      </c>
      <c r="N19" s="17" t="s">
        <v>26</v>
      </c>
      <c r="O19" s="17">
        <v>14</v>
      </c>
      <c r="P19" s="17" t="s">
        <v>26</v>
      </c>
      <c r="Q19" s="16"/>
    </row>
    <row r="20" spans="1:17" ht="14.25">
      <c r="A20" s="17" t="s">
        <v>84</v>
      </c>
      <c r="B20" s="18">
        <v>45362</v>
      </c>
      <c r="C20" s="17" t="s">
        <v>60</v>
      </c>
      <c r="D20" s="17" t="s">
        <v>51</v>
      </c>
      <c r="E20" s="17" t="s">
        <v>39</v>
      </c>
      <c r="F20" s="17" t="s">
        <v>20</v>
      </c>
      <c r="G20" s="17" t="s">
        <v>44</v>
      </c>
      <c r="H20" s="17">
        <v>13</v>
      </c>
      <c r="I20" s="19">
        <v>4320</v>
      </c>
      <c r="J20" s="17" t="s">
        <v>61</v>
      </c>
      <c r="K20" s="17" t="s">
        <v>62</v>
      </c>
      <c r="L20" s="17" t="s">
        <v>53</v>
      </c>
      <c r="M20" s="17" t="s">
        <v>53</v>
      </c>
      <c r="N20" s="17" t="s">
        <v>26</v>
      </c>
      <c r="O20" s="17">
        <v>30</v>
      </c>
      <c r="P20" s="17" t="s">
        <v>26</v>
      </c>
      <c r="Q20" s="16"/>
    </row>
    <row r="21" spans="1:17" ht="14.25">
      <c r="A21" s="17" t="s">
        <v>85</v>
      </c>
      <c r="B21" s="18">
        <v>45609</v>
      </c>
      <c r="C21" s="17" t="s">
        <v>17</v>
      </c>
      <c r="D21" s="17" t="s">
        <v>18</v>
      </c>
      <c r="E21" s="17" t="s">
        <v>39</v>
      </c>
      <c r="F21" s="17" t="s">
        <v>40</v>
      </c>
      <c r="G21" s="17" t="s">
        <v>41</v>
      </c>
      <c r="H21" s="17">
        <v>29</v>
      </c>
      <c r="I21" s="19">
        <v>36084</v>
      </c>
      <c r="J21" s="17" t="s">
        <v>86</v>
      </c>
      <c r="K21" s="17" t="s">
        <v>23</v>
      </c>
      <c r="L21" s="17" t="s">
        <v>35</v>
      </c>
      <c r="M21" s="17" t="s">
        <v>25</v>
      </c>
      <c r="N21" s="17" t="s">
        <v>26</v>
      </c>
      <c r="O21" s="17">
        <v>14</v>
      </c>
      <c r="P21" s="17" t="s">
        <v>37</v>
      </c>
      <c r="Q21" s="16"/>
    </row>
    <row r="22" spans="1:17" ht="14.25">
      <c r="A22" s="17" t="s">
        <v>87</v>
      </c>
      <c r="B22" s="18">
        <v>45442</v>
      </c>
      <c r="C22" s="17" t="s">
        <v>17</v>
      </c>
      <c r="D22" s="17" t="s">
        <v>18</v>
      </c>
      <c r="E22" s="17" t="s">
        <v>39</v>
      </c>
      <c r="F22" s="17" t="s">
        <v>32</v>
      </c>
      <c r="G22" s="17" t="s">
        <v>21</v>
      </c>
      <c r="H22" s="17">
        <v>19</v>
      </c>
      <c r="I22" s="19">
        <v>68931</v>
      </c>
      <c r="J22" s="17" t="s">
        <v>42</v>
      </c>
      <c r="K22" s="17" t="s">
        <v>23</v>
      </c>
      <c r="L22" s="17" t="s">
        <v>49</v>
      </c>
      <c r="M22" s="17" t="s">
        <v>25</v>
      </c>
      <c r="N22" s="17" t="s">
        <v>26</v>
      </c>
      <c r="O22" s="17">
        <v>14</v>
      </c>
      <c r="P22" s="17" t="s">
        <v>37</v>
      </c>
      <c r="Q22" s="16"/>
    </row>
    <row r="23" spans="1:17" ht="14.25">
      <c r="A23" s="17" t="s">
        <v>88</v>
      </c>
      <c r="B23" s="18">
        <v>45625</v>
      </c>
      <c r="C23" s="17" t="s">
        <v>60</v>
      </c>
      <c r="D23" s="17" t="s">
        <v>89</v>
      </c>
      <c r="E23" s="17" t="s">
        <v>39</v>
      </c>
      <c r="F23" s="17" t="s">
        <v>32</v>
      </c>
      <c r="G23" s="17" t="s">
        <v>44</v>
      </c>
      <c r="H23" s="17">
        <v>19</v>
      </c>
      <c r="I23" s="19">
        <v>8981</v>
      </c>
      <c r="J23" s="17" t="s">
        <v>77</v>
      </c>
      <c r="K23" s="17" t="s">
        <v>62</v>
      </c>
      <c r="L23" s="17" t="s">
        <v>35</v>
      </c>
      <c r="M23" s="17" t="s">
        <v>90</v>
      </c>
      <c r="N23" s="17" t="s">
        <v>26</v>
      </c>
      <c r="O23" s="17">
        <v>3</v>
      </c>
      <c r="P23" s="17" t="s">
        <v>37</v>
      </c>
      <c r="Q23" s="16"/>
    </row>
    <row r="24" spans="1:17" ht="14.25">
      <c r="A24" s="17" t="s">
        <v>91</v>
      </c>
      <c r="B24" s="18">
        <v>45404</v>
      </c>
      <c r="C24" s="17" t="s">
        <v>17</v>
      </c>
      <c r="D24" s="17" t="s">
        <v>18</v>
      </c>
      <c r="E24" s="17" t="s">
        <v>39</v>
      </c>
      <c r="F24" s="17" t="s">
        <v>20</v>
      </c>
      <c r="G24" s="17" t="s">
        <v>44</v>
      </c>
      <c r="H24" s="17">
        <v>27</v>
      </c>
      <c r="I24" s="19">
        <v>28208</v>
      </c>
      <c r="J24" s="17" t="s">
        <v>22</v>
      </c>
      <c r="K24" s="17" t="s">
        <v>23</v>
      </c>
      <c r="L24" s="17" t="s">
        <v>24</v>
      </c>
      <c r="M24" s="17" t="s">
        <v>25</v>
      </c>
      <c r="N24" s="17" t="s">
        <v>26</v>
      </c>
      <c r="O24" s="17">
        <v>14</v>
      </c>
      <c r="P24" s="17" t="s">
        <v>37</v>
      </c>
      <c r="Q24" s="16"/>
    </row>
    <row r="25" spans="1:17" ht="14.25">
      <c r="A25" s="17" t="s">
        <v>92</v>
      </c>
      <c r="B25" s="18">
        <v>45430</v>
      </c>
      <c r="C25" s="17" t="s">
        <v>68</v>
      </c>
      <c r="D25" s="17" t="s">
        <v>30</v>
      </c>
      <c r="E25" s="17" t="s">
        <v>39</v>
      </c>
      <c r="F25" s="17" t="s">
        <v>74</v>
      </c>
      <c r="G25" s="17" t="s">
        <v>41</v>
      </c>
      <c r="H25" s="17">
        <v>14</v>
      </c>
      <c r="I25" s="19">
        <v>70742</v>
      </c>
      <c r="J25" s="17" t="s">
        <v>93</v>
      </c>
      <c r="K25" s="17" t="s">
        <v>70</v>
      </c>
      <c r="L25" s="17" t="s">
        <v>58</v>
      </c>
      <c r="M25" s="17" t="s">
        <v>36</v>
      </c>
      <c r="N25" s="17" t="s">
        <v>26</v>
      </c>
      <c r="O25" s="17">
        <v>7</v>
      </c>
      <c r="P25" s="17" t="s">
        <v>37</v>
      </c>
      <c r="Q25" s="16"/>
    </row>
    <row r="26" spans="1:17" ht="14.25">
      <c r="A26" s="17" t="s">
        <v>94</v>
      </c>
      <c r="B26" s="18">
        <v>45599</v>
      </c>
      <c r="C26" s="17" t="s">
        <v>68</v>
      </c>
      <c r="D26" s="17" t="s">
        <v>51</v>
      </c>
      <c r="E26" s="17" t="s">
        <v>39</v>
      </c>
      <c r="F26" s="17" t="s">
        <v>32</v>
      </c>
      <c r="G26" s="17" t="s">
        <v>21</v>
      </c>
      <c r="H26" s="17">
        <v>4</v>
      </c>
      <c r="I26" s="19">
        <v>28666</v>
      </c>
      <c r="J26" s="17" t="s">
        <v>69</v>
      </c>
      <c r="K26" s="17" t="s">
        <v>70</v>
      </c>
      <c r="L26" s="17" t="s">
        <v>49</v>
      </c>
      <c r="M26" s="17" t="s">
        <v>53</v>
      </c>
      <c r="N26" s="17" t="s">
        <v>37</v>
      </c>
      <c r="O26" s="17">
        <v>30</v>
      </c>
      <c r="P26" s="17" t="s">
        <v>26</v>
      </c>
      <c r="Q26" s="16"/>
    </row>
    <row r="27" spans="1:17" ht="14.25">
      <c r="A27" s="17" t="s">
        <v>95</v>
      </c>
      <c r="B27" s="18">
        <v>45619</v>
      </c>
      <c r="C27" s="17" t="s">
        <v>46</v>
      </c>
      <c r="D27" s="17" t="s">
        <v>18</v>
      </c>
      <c r="E27" s="17" t="s">
        <v>31</v>
      </c>
      <c r="F27" s="17" t="s">
        <v>74</v>
      </c>
      <c r="G27" s="17" t="s">
        <v>44</v>
      </c>
      <c r="H27" s="17">
        <v>12</v>
      </c>
      <c r="I27" s="19">
        <v>41949</v>
      </c>
      <c r="J27" s="17" t="s">
        <v>52</v>
      </c>
      <c r="K27" s="17" t="s">
        <v>48</v>
      </c>
      <c r="L27" s="17" t="s">
        <v>24</v>
      </c>
      <c r="M27" s="17" t="s">
        <v>25</v>
      </c>
      <c r="N27" s="17" t="s">
        <v>26</v>
      </c>
      <c r="O27" s="17">
        <v>14</v>
      </c>
      <c r="P27" s="17" t="s">
        <v>27</v>
      </c>
      <c r="Q27" s="16"/>
    </row>
    <row r="28" spans="1:17" ht="14.25">
      <c r="A28" s="17" t="s">
        <v>96</v>
      </c>
      <c r="B28" s="18">
        <v>45637</v>
      </c>
      <c r="C28" s="17" t="s">
        <v>60</v>
      </c>
      <c r="D28" s="17" t="s">
        <v>30</v>
      </c>
      <c r="E28" s="17" t="s">
        <v>39</v>
      </c>
      <c r="F28" s="17" t="s">
        <v>40</v>
      </c>
      <c r="G28" s="17" t="s">
        <v>41</v>
      </c>
      <c r="H28" s="17">
        <v>14</v>
      </c>
      <c r="I28" s="19">
        <v>63872</v>
      </c>
      <c r="J28" s="17" t="s">
        <v>77</v>
      </c>
      <c r="K28" s="17" t="s">
        <v>62</v>
      </c>
      <c r="L28" s="17" t="s">
        <v>35</v>
      </c>
      <c r="M28" s="17" t="s">
        <v>36</v>
      </c>
      <c r="N28" s="17" t="s">
        <v>26</v>
      </c>
      <c r="O28" s="17">
        <v>7</v>
      </c>
      <c r="P28" s="17" t="s">
        <v>37</v>
      </c>
      <c r="Q28" s="16"/>
    </row>
    <row r="29" spans="1:17" ht="14.25">
      <c r="A29" s="17" t="s">
        <v>97</v>
      </c>
      <c r="B29" s="18">
        <v>45605</v>
      </c>
      <c r="C29" s="17" t="s">
        <v>68</v>
      </c>
      <c r="D29" s="17" t="s">
        <v>18</v>
      </c>
      <c r="E29" s="17" t="s">
        <v>19</v>
      </c>
      <c r="F29" s="17" t="s">
        <v>72</v>
      </c>
      <c r="G29" s="17" t="s">
        <v>83</v>
      </c>
      <c r="H29" s="17">
        <v>14</v>
      </c>
      <c r="I29" s="19">
        <v>56187</v>
      </c>
      <c r="J29" s="17" t="s">
        <v>93</v>
      </c>
      <c r="K29" s="17" t="s">
        <v>70</v>
      </c>
      <c r="L29" s="17" t="s">
        <v>24</v>
      </c>
      <c r="M29" s="17" t="s">
        <v>25</v>
      </c>
      <c r="N29" s="17" t="s">
        <v>26</v>
      </c>
      <c r="O29" s="17">
        <v>14</v>
      </c>
      <c r="P29" s="17" t="s">
        <v>27</v>
      </c>
      <c r="Q29" s="16"/>
    </row>
    <row r="30" spans="1:17" ht="14.25">
      <c r="A30" s="17" t="s">
        <v>98</v>
      </c>
      <c r="B30" s="18">
        <v>45405</v>
      </c>
      <c r="C30" s="17" t="s">
        <v>29</v>
      </c>
      <c r="D30" s="17" t="s">
        <v>18</v>
      </c>
      <c r="E30" s="17" t="s">
        <v>39</v>
      </c>
      <c r="F30" s="17" t="s">
        <v>32</v>
      </c>
      <c r="G30" s="17" t="s">
        <v>41</v>
      </c>
      <c r="H30" s="17">
        <v>18</v>
      </c>
      <c r="I30" s="19">
        <v>84106</v>
      </c>
      <c r="J30" s="17" t="s">
        <v>99</v>
      </c>
      <c r="K30" s="17" t="s">
        <v>34</v>
      </c>
      <c r="L30" s="17" t="s">
        <v>35</v>
      </c>
      <c r="M30" s="17" t="s">
        <v>25</v>
      </c>
      <c r="N30" s="17" t="s">
        <v>37</v>
      </c>
      <c r="O30" s="17">
        <v>14</v>
      </c>
      <c r="P30" s="17" t="s">
        <v>37</v>
      </c>
      <c r="Q30" s="16"/>
    </row>
    <row r="31" spans="1:17" ht="14.25">
      <c r="A31" s="17" t="s">
        <v>100</v>
      </c>
      <c r="B31" s="18">
        <v>45645</v>
      </c>
      <c r="C31" s="17" t="s">
        <v>46</v>
      </c>
      <c r="D31" s="17" t="s">
        <v>30</v>
      </c>
      <c r="E31" s="17" t="s">
        <v>64</v>
      </c>
      <c r="F31" s="17" t="s">
        <v>40</v>
      </c>
      <c r="G31" s="17" t="s">
        <v>44</v>
      </c>
      <c r="H31" s="17">
        <v>15</v>
      </c>
      <c r="I31" s="19">
        <v>11425</v>
      </c>
      <c r="J31" s="17" t="s">
        <v>47</v>
      </c>
      <c r="K31" s="17" t="s">
        <v>48</v>
      </c>
      <c r="L31" s="17" t="s">
        <v>58</v>
      </c>
      <c r="M31" s="17" t="s">
        <v>36</v>
      </c>
      <c r="N31" s="17" t="s">
        <v>26</v>
      </c>
      <c r="O31" s="17">
        <v>7</v>
      </c>
      <c r="P31" s="17" t="s">
        <v>27</v>
      </c>
      <c r="Q31" s="16"/>
    </row>
    <row r="32" spans="1:17" ht="14.25">
      <c r="A32" s="17" t="s">
        <v>101</v>
      </c>
      <c r="B32" s="18">
        <v>45575</v>
      </c>
      <c r="C32" s="17" t="s">
        <v>17</v>
      </c>
      <c r="D32" s="17" t="s">
        <v>18</v>
      </c>
      <c r="E32" s="17" t="s">
        <v>39</v>
      </c>
      <c r="F32" s="17" t="s">
        <v>74</v>
      </c>
      <c r="G32" s="17" t="s">
        <v>83</v>
      </c>
      <c r="H32" s="17">
        <v>5</v>
      </c>
      <c r="I32" s="19">
        <v>97966</v>
      </c>
      <c r="J32" s="17" t="s">
        <v>42</v>
      </c>
      <c r="K32" s="17" t="s">
        <v>23</v>
      </c>
      <c r="L32" s="17" t="s">
        <v>58</v>
      </c>
      <c r="M32" s="17" t="s">
        <v>25</v>
      </c>
      <c r="N32" s="17" t="s">
        <v>26</v>
      </c>
      <c r="O32" s="17">
        <v>14</v>
      </c>
      <c r="P32" s="17" t="s">
        <v>26</v>
      </c>
      <c r="Q32" s="16"/>
    </row>
    <row r="33" spans="1:17" ht="14.25">
      <c r="A33" s="17" t="s">
        <v>102</v>
      </c>
      <c r="B33" s="18">
        <v>45606</v>
      </c>
      <c r="C33" s="17" t="s">
        <v>60</v>
      </c>
      <c r="D33" s="17" t="s">
        <v>30</v>
      </c>
      <c r="E33" s="17" t="s">
        <v>64</v>
      </c>
      <c r="F33" s="17" t="s">
        <v>32</v>
      </c>
      <c r="G33" s="17" t="s">
        <v>21</v>
      </c>
      <c r="H33" s="17">
        <v>25</v>
      </c>
      <c r="I33" s="19">
        <v>54092</v>
      </c>
      <c r="J33" s="17" t="s">
        <v>103</v>
      </c>
      <c r="K33" s="17" t="s">
        <v>62</v>
      </c>
      <c r="L33" s="17" t="s">
        <v>35</v>
      </c>
      <c r="M33" s="17" t="s">
        <v>36</v>
      </c>
      <c r="N33" s="17" t="s">
        <v>26</v>
      </c>
      <c r="O33" s="17">
        <v>7</v>
      </c>
      <c r="P33" s="17" t="s">
        <v>27</v>
      </c>
      <c r="Q33" s="16"/>
    </row>
    <row r="34" spans="1:17" ht="14.25">
      <c r="A34" s="17" t="s">
        <v>104</v>
      </c>
      <c r="B34" s="18">
        <v>45490</v>
      </c>
      <c r="C34" s="17" t="s">
        <v>46</v>
      </c>
      <c r="D34" s="17" t="s">
        <v>51</v>
      </c>
      <c r="E34" s="17" t="s">
        <v>39</v>
      </c>
      <c r="F34" s="17" t="s">
        <v>72</v>
      </c>
      <c r="G34" s="17" t="s">
        <v>21</v>
      </c>
      <c r="H34" s="17">
        <v>5</v>
      </c>
      <c r="I34" s="19">
        <v>80421</v>
      </c>
      <c r="J34" s="17" t="s">
        <v>47</v>
      </c>
      <c r="K34" s="17" t="s">
        <v>48</v>
      </c>
      <c r="L34" s="17" t="s">
        <v>58</v>
      </c>
      <c r="M34" s="17" t="s">
        <v>53</v>
      </c>
      <c r="N34" s="17" t="s">
        <v>26</v>
      </c>
      <c r="O34" s="17">
        <v>30</v>
      </c>
      <c r="P34" s="17" t="s">
        <v>26</v>
      </c>
      <c r="Q34" s="16"/>
    </row>
    <row r="35" spans="1:17" ht="14.25">
      <c r="A35" s="17" t="s">
        <v>105</v>
      </c>
      <c r="B35" s="18">
        <v>45615</v>
      </c>
      <c r="C35" s="17" t="s">
        <v>46</v>
      </c>
      <c r="D35" s="17" t="s">
        <v>18</v>
      </c>
      <c r="E35" s="17" t="s">
        <v>39</v>
      </c>
      <c r="F35" s="17" t="s">
        <v>74</v>
      </c>
      <c r="G35" s="17" t="s">
        <v>21</v>
      </c>
      <c r="H35" s="17">
        <v>14</v>
      </c>
      <c r="I35" s="19">
        <v>62803</v>
      </c>
      <c r="J35" s="17" t="s">
        <v>47</v>
      </c>
      <c r="K35" s="17" t="s">
        <v>48</v>
      </c>
      <c r="L35" s="17" t="s">
        <v>75</v>
      </c>
      <c r="M35" s="17" t="s">
        <v>25</v>
      </c>
      <c r="N35" s="17" t="s">
        <v>37</v>
      </c>
      <c r="O35" s="17">
        <v>14</v>
      </c>
      <c r="P35" s="17" t="s">
        <v>26</v>
      </c>
      <c r="Q35" s="16"/>
    </row>
    <row r="36" spans="1:17" ht="14.25">
      <c r="A36" s="17" t="s">
        <v>106</v>
      </c>
      <c r="B36" s="18">
        <v>45394</v>
      </c>
      <c r="C36" s="17" t="s">
        <v>68</v>
      </c>
      <c r="D36" s="17" t="s">
        <v>89</v>
      </c>
      <c r="E36" s="17" t="s">
        <v>39</v>
      </c>
      <c r="F36" s="17" t="s">
        <v>40</v>
      </c>
      <c r="G36" s="17" t="s">
        <v>83</v>
      </c>
      <c r="H36" s="17">
        <v>14</v>
      </c>
      <c r="I36" s="19">
        <v>55150</v>
      </c>
      <c r="J36" s="17" t="s">
        <v>69</v>
      </c>
      <c r="K36" s="17" t="s">
        <v>70</v>
      </c>
      <c r="L36" s="17" t="s">
        <v>58</v>
      </c>
      <c r="M36" s="17" t="s">
        <v>90</v>
      </c>
      <c r="N36" s="17" t="s">
        <v>37</v>
      </c>
      <c r="O36" s="17">
        <v>3</v>
      </c>
      <c r="P36" s="17" t="s">
        <v>37</v>
      </c>
      <c r="Q36" s="16"/>
    </row>
    <row r="37" spans="1:17" ht="14.25">
      <c r="A37" s="17" t="s">
        <v>107</v>
      </c>
      <c r="B37" s="18">
        <v>45495</v>
      </c>
      <c r="C37" s="17" t="s">
        <v>60</v>
      </c>
      <c r="D37" s="17" t="s">
        <v>18</v>
      </c>
      <c r="E37" s="17" t="s">
        <v>64</v>
      </c>
      <c r="F37" s="17" t="s">
        <v>20</v>
      </c>
      <c r="G37" s="17" t="s">
        <v>41</v>
      </c>
      <c r="H37" s="17">
        <v>5</v>
      </c>
      <c r="I37" s="19">
        <v>12951</v>
      </c>
      <c r="J37" s="17" t="s">
        <v>61</v>
      </c>
      <c r="K37" s="17" t="s">
        <v>62</v>
      </c>
      <c r="L37" s="17" t="s">
        <v>35</v>
      </c>
      <c r="M37" s="17" t="s">
        <v>25</v>
      </c>
      <c r="N37" s="17" t="s">
        <v>26</v>
      </c>
      <c r="O37" s="17">
        <v>14</v>
      </c>
      <c r="P37" s="17" t="s">
        <v>27</v>
      </c>
      <c r="Q37" s="16"/>
    </row>
    <row r="38" spans="1:17" ht="14.25">
      <c r="A38" s="17" t="s">
        <v>108</v>
      </c>
      <c r="B38" s="18">
        <v>45345</v>
      </c>
      <c r="C38" s="17" t="s">
        <v>55</v>
      </c>
      <c r="D38" s="17" t="s">
        <v>30</v>
      </c>
      <c r="E38" s="17" t="s">
        <v>39</v>
      </c>
      <c r="F38" s="17" t="s">
        <v>72</v>
      </c>
      <c r="G38" s="17" t="s">
        <v>41</v>
      </c>
      <c r="H38" s="17">
        <v>17</v>
      </c>
      <c r="I38" s="19">
        <v>32741</v>
      </c>
      <c r="J38" s="17" t="s">
        <v>109</v>
      </c>
      <c r="K38" s="17" t="s">
        <v>57</v>
      </c>
      <c r="L38" s="17" t="s">
        <v>58</v>
      </c>
      <c r="M38" s="17" t="s">
        <v>36</v>
      </c>
      <c r="N38" s="17" t="s">
        <v>26</v>
      </c>
      <c r="O38" s="17">
        <v>7</v>
      </c>
      <c r="P38" s="17" t="s">
        <v>37</v>
      </c>
      <c r="Q38" s="16"/>
    </row>
    <row r="39" spans="1:17" ht="14.25">
      <c r="A39" s="17" t="s">
        <v>110</v>
      </c>
      <c r="B39" s="18">
        <v>45617</v>
      </c>
      <c r="C39" s="17" t="s">
        <v>46</v>
      </c>
      <c r="D39" s="17" t="s">
        <v>51</v>
      </c>
      <c r="E39" s="17" t="s">
        <v>31</v>
      </c>
      <c r="F39" s="17" t="s">
        <v>74</v>
      </c>
      <c r="G39" s="17" t="s">
        <v>21</v>
      </c>
      <c r="H39" s="17">
        <v>1</v>
      </c>
      <c r="I39" s="19">
        <v>40909</v>
      </c>
      <c r="J39" s="17" t="s">
        <v>111</v>
      </c>
      <c r="K39" s="17" t="s">
        <v>48</v>
      </c>
      <c r="L39" s="17" t="s">
        <v>75</v>
      </c>
      <c r="M39" s="17" t="s">
        <v>53</v>
      </c>
      <c r="N39" s="17" t="s">
        <v>26</v>
      </c>
      <c r="O39" s="17">
        <v>30</v>
      </c>
      <c r="P39" s="17" t="s">
        <v>27</v>
      </c>
      <c r="Q39" s="16"/>
    </row>
    <row r="40" spans="1:17" ht="14.25">
      <c r="A40" s="17" t="s">
        <v>112</v>
      </c>
      <c r="B40" s="18">
        <v>45511</v>
      </c>
      <c r="C40" s="17" t="s">
        <v>68</v>
      </c>
      <c r="D40" s="17" t="s">
        <v>18</v>
      </c>
      <c r="E40" s="17" t="s">
        <v>19</v>
      </c>
      <c r="F40" s="17" t="s">
        <v>32</v>
      </c>
      <c r="G40" s="17" t="s">
        <v>83</v>
      </c>
      <c r="H40" s="17">
        <v>15</v>
      </c>
      <c r="I40" s="19">
        <v>89203</v>
      </c>
      <c r="J40" s="17" t="s">
        <v>93</v>
      </c>
      <c r="K40" s="17" t="s">
        <v>70</v>
      </c>
      <c r="L40" s="17" t="s">
        <v>49</v>
      </c>
      <c r="M40" s="17" t="s">
        <v>25</v>
      </c>
      <c r="N40" s="17" t="s">
        <v>37</v>
      </c>
      <c r="O40" s="17">
        <v>14</v>
      </c>
      <c r="P40" s="17" t="s">
        <v>27</v>
      </c>
      <c r="Q40" s="16"/>
    </row>
    <row r="41" spans="1:17" ht="14.25">
      <c r="A41" s="17" t="s">
        <v>113</v>
      </c>
      <c r="B41" s="18">
        <v>45562</v>
      </c>
      <c r="C41" s="17" t="s">
        <v>17</v>
      </c>
      <c r="D41" s="17" t="s">
        <v>18</v>
      </c>
      <c r="E41" s="17" t="s">
        <v>64</v>
      </c>
      <c r="F41" s="17" t="s">
        <v>32</v>
      </c>
      <c r="G41" s="17" t="s">
        <v>41</v>
      </c>
      <c r="H41" s="17">
        <v>20</v>
      </c>
      <c r="I41" s="19">
        <v>51653</v>
      </c>
      <c r="J41" s="17" t="s">
        <v>42</v>
      </c>
      <c r="K41" s="17" t="s">
        <v>23</v>
      </c>
      <c r="L41" s="17" t="s">
        <v>35</v>
      </c>
      <c r="M41" s="17" t="s">
        <v>25</v>
      </c>
      <c r="N41" s="17" t="s">
        <v>26</v>
      </c>
      <c r="O41" s="17">
        <v>14</v>
      </c>
      <c r="P41" s="17" t="s">
        <v>27</v>
      </c>
      <c r="Q41" s="16"/>
    </row>
    <row r="42" spans="1:17" ht="14.25">
      <c r="A42" s="17" t="s">
        <v>114</v>
      </c>
      <c r="B42" s="18">
        <v>45452</v>
      </c>
      <c r="C42" s="17" t="s">
        <v>55</v>
      </c>
      <c r="D42" s="17" t="s">
        <v>51</v>
      </c>
      <c r="E42" s="17" t="s">
        <v>64</v>
      </c>
      <c r="F42" s="17" t="s">
        <v>40</v>
      </c>
      <c r="G42" s="17" t="s">
        <v>83</v>
      </c>
      <c r="H42" s="17">
        <v>2</v>
      </c>
      <c r="I42" s="19">
        <v>60572</v>
      </c>
      <c r="J42" s="17" t="s">
        <v>109</v>
      </c>
      <c r="K42" s="17" t="s">
        <v>57</v>
      </c>
      <c r="L42" s="17" t="s">
        <v>58</v>
      </c>
      <c r="M42" s="17" t="s">
        <v>53</v>
      </c>
      <c r="N42" s="17" t="s">
        <v>26</v>
      </c>
      <c r="O42" s="17">
        <v>30</v>
      </c>
      <c r="P42" s="17" t="s">
        <v>27</v>
      </c>
      <c r="Q42" s="16"/>
    </row>
    <row r="43" spans="1:17" ht="14.25">
      <c r="A43" s="17" t="s">
        <v>115</v>
      </c>
      <c r="B43" s="18">
        <v>45297</v>
      </c>
      <c r="C43" s="17" t="s">
        <v>60</v>
      </c>
      <c r="D43" s="17" t="s">
        <v>51</v>
      </c>
      <c r="E43" s="17" t="s">
        <v>31</v>
      </c>
      <c r="F43" s="17" t="s">
        <v>20</v>
      </c>
      <c r="G43" s="17" t="s">
        <v>41</v>
      </c>
      <c r="H43" s="17">
        <v>17</v>
      </c>
      <c r="I43" s="19">
        <v>62421</v>
      </c>
      <c r="J43" s="17" t="s">
        <v>103</v>
      </c>
      <c r="K43" s="17" t="s">
        <v>62</v>
      </c>
      <c r="L43" s="17" t="s">
        <v>24</v>
      </c>
      <c r="M43" s="17" t="s">
        <v>53</v>
      </c>
      <c r="N43" s="17" t="s">
        <v>26</v>
      </c>
      <c r="O43" s="17">
        <v>30</v>
      </c>
      <c r="P43" s="17" t="s">
        <v>27</v>
      </c>
      <c r="Q43" s="16"/>
    </row>
    <row r="44" spans="1:17" ht="14.25">
      <c r="A44" s="17" t="s">
        <v>116</v>
      </c>
      <c r="B44" s="18">
        <v>45514</v>
      </c>
      <c r="C44" s="17" t="s">
        <v>60</v>
      </c>
      <c r="D44" s="17" t="s">
        <v>30</v>
      </c>
      <c r="E44" s="17" t="s">
        <v>19</v>
      </c>
      <c r="F44" s="17" t="s">
        <v>72</v>
      </c>
      <c r="G44" s="17" t="s">
        <v>83</v>
      </c>
      <c r="H44" s="17">
        <v>21</v>
      </c>
      <c r="I44" s="19">
        <v>31592</v>
      </c>
      <c r="J44" s="17" t="s">
        <v>61</v>
      </c>
      <c r="K44" s="17" t="s">
        <v>62</v>
      </c>
      <c r="L44" s="17" t="s">
        <v>58</v>
      </c>
      <c r="M44" s="17" t="s">
        <v>36</v>
      </c>
      <c r="N44" s="17" t="s">
        <v>26</v>
      </c>
      <c r="O44" s="17">
        <v>7</v>
      </c>
      <c r="P44" s="17" t="s">
        <v>27</v>
      </c>
      <c r="Q44" s="16"/>
    </row>
    <row r="45" spans="1:17" ht="14.25">
      <c r="A45" s="17" t="s">
        <v>117</v>
      </c>
      <c r="B45" s="18">
        <v>45531</v>
      </c>
      <c r="C45" s="17" t="s">
        <v>68</v>
      </c>
      <c r="D45" s="17" t="s">
        <v>18</v>
      </c>
      <c r="E45" s="17" t="s">
        <v>19</v>
      </c>
      <c r="F45" s="17" t="s">
        <v>32</v>
      </c>
      <c r="G45" s="17" t="s">
        <v>21</v>
      </c>
      <c r="H45" s="17">
        <v>1</v>
      </c>
      <c r="I45" s="19">
        <v>19160</v>
      </c>
      <c r="J45" s="17" t="s">
        <v>93</v>
      </c>
      <c r="K45" s="17" t="s">
        <v>70</v>
      </c>
      <c r="L45" s="17" t="s">
        <v>35</v>
      </c>
      <c r="M45" s="17" t="s">
        <v>25</v>
      </c>
      <c r="N45" s="17" t="s">
        <v>37</v>
      </c>
      <c r="O45" s="17">
        <v>14</v>
      </c>
      <c r="P45" s="17" t="s">
        <v>27</v>
      </c>
      <c r="Q45" s="16"/>
    </row>
    <row r="46" spans="1:17" ht="14.25">
      <c r="A46" s="17" t="s">
        <v>118</v>
      </c>
      <c r="B46" s="18">
        <v>45355</v>
      </c>
      <c r="C46" s="17" t="s">
        <v>55</v>
      </c>
      <c r="D46" s="17" t="s">
        <v>18</v>
      </c>
      <c r="E46" s="17" t="s">
        <v>39</v>
      </c>
      <c r="F46" s="17" t="s">
        <v>74</v>
      </c>
      <c r="G46" s="17" t="s">
        <v>44</v>
      </c>
      <c r="H46" s="17">
        <v>13</v>
      </c>
      <c r="I46" s="19">
        <v>63791</v>
      </c>
      <c r="J46" s="17" t="s">
        <v>109</v>
      </c>
      <c r="K46" s="17" t="s">
        <v>57</v>
      </c>
      <c r="L46" s="17" t="s">
        <v>58</v>
      </c>
      <c r="M46" s="17" t="s">
        <v>25</v>
      </c>
      <c r="N46" s="17" t="s">
        <v>26</v>
      </c>
      <c r="O46" s="17">
        <v>14</v>
      </c>
      <c r="P46" s="17" t="s">
        <v>26</v>
      </c>
      <c r="Q46" s="16"/>
    </row>
    <row r="47" spans="1:17" ht="14.25">
      <c r="A47" s="17" t="s">
        <v>119</v>
      </c>
      <c r="B47" s="18">
        <v>45438</v>
      </c>
      <c r="C47" s="17" t="s">
        <v>17</v>
      </c>
      <c r="D47" s="17" t="s">
        <v>30</v>
      </c>
      <c r="E47" s="17" t="s">
        <v>39</v>
      </c>
      <c r="F47" s="17" t="s">
        <v>20</v>
      </c>
      <c r="G47" s="17" t="s">
        <v>44</v>
      </c>
      <c r="H47" s="17">
        <v>10</v>
      </c>
      <c r="I47" s="19">
        <v>38906</v>
      </c>
      <c r="J47" s="17" t="s">
        <v>42</v>
      </c>
      <c r="K47" s="17" t="s">
        <v>23</v>
      </c>
      <c r="L47" s="17" t="s">
        <v>53</v>
      </c>
      <c r="M47" s="17" t="s">
        <v>36</v>
      </c>
      <c r="N47" s="17" t="s">
        <v>26</v>
      </c>
      <c r="O47" s="17">
        <v>7</v>
      </c>
      <c r="P47" s="17" t="s">
        <v>37</v>
      </c>
      <c r="Q47" s="16"/>
    </row>
    <row r="48" spans="1:17" ht="14.25">
      <c r="A48" s="17" t="s">
        <v>120</v>
      </c>
      <c r="B48" s="18">
        <v>45555</v>
      </c>
      <c r="C48" s="17" t="s">
        <v>68</v>
      </c>
      <c r="D48" s="17" t="s">
        <v>30</v>
      </c>
      <c r="E48" s="17" t="s">
        <v>64</v>
      </c>
      <c r="F48" s="17" t="s">
        <v>40</v>
      </c>
      <c r="G48" s="17" t="s">
        <v>44</v>
      </c>
      <c r="H48" s="17">
        <v>22</v>
      </c>
      <c r="I48" s="19">
        <v>14241</v>
      </c>
      <c r="J48" s="17" t="s">
        <v>69</v>
      </c>
      <c r="K48" s="17" t="s">
        <v>70</v>
      </c>
      <c r="L48" s="17" t="s">
        <v>121</v>
      </c>
      <c r="M48" s="17" t="s">
        <v>36</v>
      </c>
      <c r="N48" s="17" t="s">
        <v>37</v>
      </c>
      <c r="O48" s="17">
        <v>7</v>
      </c>
      <c r="P48" s="17" t="s">
        <v>27</v>
      </c>
      <c r="Q48" s="16"/>
    </row>
    <row r="49" spans="1:17" ht="14.25">
      <c r="A49" s="17" t="s">
        <v>122</v>
      </c>
      <c r="B49" s="18">
        <v>45358</v>
      </c>
      <c r="C49" s="17" t="s">
        <v>46</v>
      </c>
      <c r="D49" s="17" t="s">
        <v>30</v>
      </c>
      <c r="E49" s="17" t="s">
        <v>39</v>
      </c>
      <c r="F49" s="17" t="s">
        <v>32</v>
      </c>
      <c r="G49" s="17" t="s">
        <v>41</v>
      </c>
      <c r="H49" s="17">
        <v>11</v>
      </c>
      <c r="I49" s="19">
        <v>32259</v>
      </c>
      <c r="J49" s="17" t="s">
        <v>47</v>
      </c>
      <c r="K49" s="17" t="s">
        <v>48</v>
      </c>
      <c r="L49" s="17" t="s">
        <v>58</v>
      </c>
      <c r="M49" s="17" t="s">
        <v>36</v>
      </c>
      <c r="N49" s="17" t="s">
        <v>26</v>
      </c>
      <c r="O49" s="17">
        <v>7</v>
      </c>
      <c r="P49" s="17" t="s">
        <v>37</v>
      </c>
      <c r="Q49" s="16"/>
    </row>
    <row r="50" spans="1:17" ht="14.25">
      <c r="A50" s="17" t="s">
        <v>123</v>
      </c>
      <c r="B50" s="18">
        <v>45426</v>
      </c>
      <c r="C50" s="17" t="s">
        <v>17</v>
      </c>
      <c r="D50" s="17" t="s">
        <v>18</v>
      </c>
      <c r="E50" s="17" t="s">
        <v>39</v>
      </c>
      <c r="F50" s="17" t="s">
        <v>72</v>
      </c>
      <c r="G50" s="17" t="s">
        <v>44</v>
      </c>
      <c r="H50" s="17">
        <v>26</v>
      </c>
      <c r="I50" s="19">
        <v>43535</v>
      </c>
      <c r="J50" s="17" t="s">
        <v>22</v>
      </c>
      <c r="K50" s="17" t="s">
        <v>23</v>
      </c>
      <c r="L50" s="17" t="s">
        <v>58</v>
      </c>
      <c r="M50" s="17" t="s">
        <v>25</v>
      </c>
      <c r="N50" s="17" t="s">
        <v>26</v>
      </c>
      <c r="O50" s="17">
        <v>14</v>
      </c>
      <c r="P50" s="17" t="s">
        <v>37</v>
      </c>
      <c r="Q50" s="16"/>
    </row>
    <row r="51" spans="1:17" ht="14.25">
      <c r="A51" s="17" t="s">
        <v>124</v>
      </c>
      <c r="B51" s="18">
        <v>45650</v>
      </c>
      <c r="C51" s="17" t="s">
        <v>68</v>
      </c>
      <c r="D51" s="17" t="s">
        <v>18</v>
      </c>
      <c r="E51" s="17" t="s">
        <v>39</v>
      </c>
      <c r="F51" s="17" t="s">
        <v>74</v>
      </c>
      <c r="G51" s="17" t="s">
        <v>21</v>
      </c>
      <c r="H51" s="17">
        <v>6</v>
      </c>
      <c r="I51" s="19">
        <v>61363</v>
      </c>
      <c r="J51" s="17" t="s">
        <v>93</v>
      </c>
      <c r="K51" s="17" t="s">
        <v>70</v>
      </c>
      <c r="L51" s="17" t="s">
        <v>58</v>
      </c>
      <c r="M51" s="17" t="s">
        <v>25</v>
      </c>
      <c r="N51" s="17" t="s">
        <v>26</v>
      </c>
      <c r="O51" s="17">
        <v>14</v>
      </c>
      <c r="P51" s="17" t="s">
        <v>26</v>
      </c>
      <c r="Q51" s="16"/>
    </row>
    <row r="52" spans="1:17" ht="14.25">
      <c r="A52" s="17" t="s">
        <v>125</v>
      </c>
      <c r="B52" s="18">
        <v>45502</v>
      </c>
      <c r="C52" s="17" t="s">
        <v>55</v>
      </c>
      <c r="D52" s="17" t="s">
        <v>30</v>
      </c>
      <c r="E52" s="17" t="s">
        <v>19</v>
      </c>
      <c r="F52" s="17" t="s">
        <v>20</v>
      </c>
      <c r="G52" s="17" t="s">
        <v>83</v>
      </c>
      <c r="H52" s="17">
        <v>13</v>
      </c>
      <c r="I52" s="19">
        <v>58037</v>
      </c>
      <c r="J52" s="17" t="s">
        <v>66</v>
      </c>
      <c r="K52" s="17" t="s">
        <v>57</v>
      </c>
      <c r="L52" s="17" t="s">
        <v>24</v>
      </c>
      <c r="M52" s="17" t="s">
        <v>36</v>
      </c>
      <c r="N52" s="17" t="s">
        <v>26</v>
      </c>
      <c r="O52" s="17">
        <v>7</v>
      </c>
      <c r="P52" s="17" t="s">
        <v>27</v>
      </c>
      <c r="Q52" s="16"/>
    </row>
    <row r="53" spans="1:17" ht="14.25">
      <c r="A53" s="17" t="s">
        <v>126</v>
      </c>
      <c r="B53" s="18">
        <v>45555</v>
      </c>
      <c r="C53" s="17" t="s">
        <v>60</v>
      </c>
      <c r="D53" s="17" t="s">
        <v>18</v>
      </c>
      <c r="E53" s="17" t="s">
        <v>39</v>
      </c>
      <c r="F53" s="17" t="s">
        <v>20</v>
      </c>
      <c r="G53" s="17" t="s">
        <v>83</v>
      </c>
      <c r="H53" s="17">
        <v>24</v>
      </c>
      <c r="I53" s="19">
        <v>36925</v>
      </c>
      <c r="J53" s="17" t="s">
        <v>61</v>
      </c>
      <c r="K53" s="17" t="s">
        <v>62</v>
      </c>
      <c r="L53" s="17" t="s">
        <v>24</v>
      </c>
      <c r="M53" s="17" t="s">
        <v>25</v>
      </c>
      <c r="N53" s="17" t="s">
        <v>26</v>
      </c>
      <c r="O53" s="17">
        <v>14</v>
      </c>
      <c r="P53" s="17" t="s">
        <v>37</v>
      </c>
      <c r="Q53" s="16"/>
    </row>
    <row r="54" spans="1:17" ht="14.25">
      <c r="A54" s="17" t="s">
        <v>127</v>
      </c>
      <c r="B54" s="18">
        <v>45442</v>
      </c>
      <c r="C54" s="17" t="s">
        <v>55</v>
      </c>
      <c r="D54" s="17" t="s">
        <v>30</v>
      </c>
      <c r="E54" s="17" t="s">
        <v>39</v>
      </c>
      <c r="F54" s="17" t="s">
        <v>72</v>
      </c>
      <c r="G54" s="17" t="s">
        <v>83</v>
      </c>
      <c r="H54" s="17">
        <v>16</v>
      </c>
      <c r="I54" s="19">
        <v>66518</v>
      </c>
      <c r="J54" s="17" t="s">
        <v>56</v>
      </c>
      <c r="K54" s="17" t="s">
        <v>57</v>
      </c>
      <c r="L54" s="17" t="s">
        <v>35</v>
      </c>
      <c r="M54" s="17" t="s">
        <v>36</v>
      </c>
      <c r="N54" s="17" t="s">
        <v>26</v>
      </c>
      <c r="O54" s="17">
        <v>7</v>
      </c>
      <c r="P54" s="17" t="s">
        <v>37</v>
      </c>
      <c r="Q54" s="16"/>
    </row>
    <row r="55" spans="1:17" ht="14.25">
      <c r="A55" s="17" t="s">
        <v>128</v>
      </c>
      <c r="B55" s="18">
        <v>45349</v>
      </c>
      <c r="C55" s="17" t="s">
        <v>55</v>
      </c>
      <c r="D55" s="17" t="s">
        <v>51</v>
      </c>
      <c r="E55" s="17" t="s">
        <v>39</v>
      </c>
      <c r="F55" s="17" t="s">
        <v>32</v>
      </c>
      <c r="G55" s="17" t="s">
        <v>83</v>
      </c>
      <c r="H55" s="17">
        <v>8</v>
      </c>
      <c r="I55" s="19">
        <v>64723</v>
      </c>
      <c r="J55" s="17" t="s">
        <v>66</v>
      </c>
      <c r="K55" s="17" t="s">
        <v>57</v>
      </c>
      <c r="L55" s="17" t="s">
        <v>49</v>
      </c>
      <c r="M55" s="17" t="s">
        <v>53</v>
      </c>
      <c r="N55" s="17" t="s">
        <v>26</v>
      </c>
      <c r="O55" s="17">
        <v>30</v>
      </c>
      <c r="P55" s="17" t="s">
        <v>26</v>
      </c>
      <c r="Q55" s="16"/>
    </row>
    <row r="56" spans="1:17" ht="14.25">
      <c r="A56" s="17" t="s">
        <v>129</v>
      </c>
      <c r="B56" s="18">
        <v>45479</v>
      </c>
      <c r="C56" s="17" t="s">
        <v>68</v>
      </c>
      <c r="D56" s="17" t="s">
        <v>18</v>
      </c>
      <c r="E56" s="17" t="s">
        <v>39</v>
      </c>
      <c r="F56" s="17" t="s">
        <v>40</v>
      </c>
      <c r="G56" s="17" t="s">
        <v>83</v>
      </c>
      <c r="H56" s="17">
        <v>29</v>
      </c>
      <c r="I56" s="19">
        <v>33107</v>
      </c>
      <c r="J56" s="17" t="s">
        <v>79</v>
      </c>
      <c r="K56" s="17" t="s">
        <v>70</v>
      </c>
      <c r="L56" s="17" t="s">
        <v>35</v>
      </c>
      <c r="M56" s="17" t="s">
        <v>25</v>
      </c>
      <c r="N56" s="17" t="s">
        <v>26</v>
      </c>
      <c r="O56" s="17">
        <v>14</v>
      </c>
      <c r="P56" s="17" t="s">
        <v>37</v>
      </c>
      <c r="Q56" s="16"/>
    </row>
    <row r="57" spans="1:17" ht="14.25">
      <c r="A57" s="17" t="s">
        <v>130</v>
      </c>
      <c r="B57" s="18">
        <v>45503</v>
      </c>
      <c r="C57" s="17" t="s">
        <v>60</v>
      </c>
      <c r="D57" s="17" t="s">
        <v>18</v>
      </c>
      <c r="E57" s="17" t="s">
        <v>39</v>
      </c>
      <c r="F57" s="17" t="s">
        <v>20</v>
      </c>
      <c r="G57" s="17" t="s">
        <v>83</v>
      </c>
      <c r="H57" s="17">
        <v>10</v>
      </c>
      <c r="I57" s="19">
        <v>59794</v>
      </c>
      <c r="J57" s="17" t="s">
        <v>61</v>
      </c>
      <c r="K57" s="17" t="s">
        <v>62</v>
      </c>
      <c r="L57" s="17" t="s">
        <v>35</v>
      </c>
      <c r="M57" s="17" t="s">
        <v>25</v>
      </c>
      <c r="N57" s="17" t="s">
        <v>26</v>
      </c>
      <c r="O57" s="17">
        <v>14</v>
      </c>
      <c r="P57" s="17" t="s">
        <v>26</v>
      </c>
      <c r="Q57" s="16"/>
    </row>
    <row r="58" spans="1:17" ht="14.25">
      <c r="A58" s="17" t="s">
        <v>131</v>
      </c>
      <c r="B58" s="18">
        <v>45513</v>
      </c>
      <c r="C58" s="17" t="s">
        <v>55</v>
      </c>
      <c r="D58" s="17" t="s">
        <v>51</v>
      </c>
      <c r="E58" s="17" t="s">
        <v>39</v>
      </c>
      <c r="F58" s="17" t="s">
        <v>72</v>
      </c>
      <c r="G58" s="17" t="s">
        <v>44</v>
      </c>
      <c r="H58" s="17">
        <v>14</v>
      </c>
      <c r="I58" s="19">
        <v>55551</v>
      </c>
      <c r="J58" s="17" t="s">
        <v>56</v>
      </c>
      <c r="K58" s="17" t="s">
        <v>57</v>
      </c>
      <c r="L58" s="17" t="s">
        <v>24</v>
      </c>
      <c r="M58" s="17" t="s">
        <v>53</v>
      </c>
      <c r="N58" s="17" t="s">
        <v>26</v>
      </c>
      <c r="O58" s="17">
        <v>30</v>
      </c>
      <c r="P58" s="17" t="s">
        <v>26</v>
      </c>
      <c r="Q58" s="16"/>
    </row>
    <row r="59" spans="1:17" ht="14.25">
      <c r="A59" s="17" t="s">
        <v>132</v>
      </c>
      <c r="B59" s="18">
        <v>45641</v>
      </c>
      <c r="C59" s="17" t="s">
        <v>29</v>
      </c>
      <c r="D59" s="17" t="s">
        <v>30</v>
      </c>
      <c r="E59" s="17" t="s">
        <v>39</v>
      </c>
      <c r="F59" s="17" t="s">
        <v>72</v>
      </c>
      <c r="G59" s="17" t="s">
        <v>44</v>
      </c>
      <c r="H59" s="17">
        <v>21</v>
      </c>
      <c r="I59" s="19">
        <v>64205</v>
      </c>
      <c r="J59" s="17" t="s">
        <v>33</v>
      </c>
      <c r="K59" s="17" t="s">
        <v>34</v>
      </c>
      <c r="L59" s="17" t="s">
        <v>58</v>
      </c>
      <c r="M59" s="17" t="s">
        <v>36</v>
      </c>
      <c r="N59" s="17" t="s">
        <v>37</v>
      </c>
      <c r="O59" s="17">
        <v>7</v>
      </c>
      <c r="P59" s="17" t="s">
        <v>37</v>
      </c>
      <c r="Q59" s="16"/>
    </row>
    <row r="60" spans="1:17" ht="14.25">
      <c r="A60" s="17" t="s">
        <v>133</v>
      </c>
      <c r="B60" s="18">
        <v>45307</v>
      </c>
      <c r="C60" s="17" t="s">
        <v>55</v>
      </c>
      <c r="D60" s="17" t="s">
        <v>89</v>
      </c>
      <c r="E60" s="17" t="s">
        <v>39</v>
      </c>
      <c r="F60" s="17" t="s">
        <v>20</v>
      </c>
      <c r="G60" s="17" t="s">
        <v>83</v>
      </c>
      <c r="H60" s="17">
        <v>27</v>
      </c>
      <c r="I60" s="19">
        <v>2841</v>
      </c>
      <c r="J60" s="17" t="s">
        <v>66</v>
      </c>
      <c r="K60" s="17" t="s">
        <v>57</v>
      </c>
      <c r="L60" s="17" t="s">
        <v>24</v>
      </c>
      <c r="M60" s="17" t="s">
        <v>90</v>
      </c>
      <c r="N60" s="17" t="s">
        <v>26</v>
      </c>
      <c r="O60" s="17">
        <v>3</v>
      </c>
      <c r="P60" s="17" t="s">
        <v>37</v>
      </c>
      <c r="Q60" s="16"/>
    </row>
    <row r="61" spans="1:17" ht="14.25">
      <c r="A61" s="17" t="s">
        <v>134</v>
      </c>
      <c r="B61" s="18">
        <v>45638</v>
      </c>
      <c r="C61" s="17" t="s">
        <v>29</v>
      </c>
      <c r="D61" s="17" t="s">
        <v>89</v>
      </c>
      <c r="E61" s="17" t="s">
        <v>39</v>
      </c>
      <c r="F61" s="17" t="s">
        <v>72</v>
      </c>
      <c r="G61" s="17" t="s">
        <v>41</v>
      </c>
      <c r="H61" s="17">
        <v>24</v>
      </c>
      <c r="I61" s="19">
        <v>47804</v>
      </c>
      <c r="J61" s="17" t="s">
        <v>99</v>
      </c>
      <c r="K61" s="17" t="s">
        <v>34</v>
      </c>
      <c r="L61" s="17" t="s">
        <v>24</v>
      </c>
      <c r="M61" s="17" t="s">
        <v>90</v>
      </c>
      <c r="N61" s="17" t="s">
        <v>26</v>
      </c>
      <c r="O61" s="17">
        <v>3</v>
      </c>
      <c r="P61" s="17" t="s">
        <v>37</v>
      </c>
      <c r="Q61" s="16"/>
    </row>
    <row r="62" spans="1:17" ht="14.25">
      <c r="A62" s="17" t="s">
        <v>135</v>
      </c>
      <c r="B62" s="18">
        <v>45403</v>
      </c>
      <c r="C62" s="17" t="s">
        <v>17</v>
      </c>
      <c r="D62" s="17" t="s">
        <v>18</v>
      </c>
      <c r="E62" s="17" t="s">
        <v>19</v>
      </c>
      <c r="F62" s="17" t="s">
        <v>72</v>
      </c>
      <c r="G62" s="17" t="s">
        <v>41</v>
      </c>
      <c r="H62" s="17">
        <v>13</v>
      </c>
      <c r="I62" s="19">
        <v>73853</v>
      </c>
      <c r="J62" s="17" t="s">
        <v>22</v>
      </c>
      <c r="K62" s="17" t="s">
        <v>23</v>
      </c>
      <c r="L62" s="17" t="s">
        <v>35</v>
      </c>
      <c r="M62" s="17" t="s">
        <v>25</v>
      </c>
      <c r="N62" s="17" t="s">
        <v>26</v>
      </c>
      <c r="O62" s="17">
        <v>14</v>
      </c>
      <c r="P62" s="17" t="s">
        <v>27</v>
      </c>
      <c r="Q62" s="16"/>
    </row>
    <row r="63" spans="1:17" ht="14.25">
      <c r="A63" s="17" t="s">
        <v>136</v>
      </c>
      <c r="B63" s="18">
        <v>45500</v>
      </c>
      <c r="C63" s="17" t="s">
        <v>68</v>
      </c>
      <c r="D63" s="17" t="s">
        <v>30</v>
      </c>
      <c r="E63" s="17" t="s">
        <v>39</v>
      </c>
      <c r="F63" s="17" t="s">
        <v>72</v>
      </c>
      <c r="G63" s="17" t="s">
        <v>21</v>
      </c>
      <c r="H63" s="17">
        <v>7</v>
      </c>
      <c r="I63" s="19">
        <v>89412</v>
      </c>
      <c r="J63" s="17" t="s">
        <v>93</v>
      </c>
      <c r="K63" s="17" t="s">
        <v>70</v>
      </c>
      <c r="L63" s="17" t="s">
        <v>24</v>
      </c>
      <c r="M63" s="17" t="s">
        <v>36</v>
      </c>
      <c r="N63" s="17" t="s">
        <v>37</v>
      </c>
      <c r="O63" s="17">
        <v>7</v>
      </c>
      <c r="P63" s="17" t="s">
        <v>26</v>
      </c>
      <c r="Q63" s="16"/>
    </row>
    <row r="64" spans="1:17" ht="14.25">
      <c r="A64" s="17" t="s">
        <v>137</v>
      </c>
      <c r="B64" s="18">
        <v>45362</v>
      </c>
      <c r="C64" s="17" t="s">
        <v>60</v>
      </c>
      <c r="D64" s="17" t="s">
        <v>30</v>
      </c>
      <c r="E64" s="17" t="s">
        <v>64</v>
      </c>
      <c r="F64" s="17" t="s">
        <v>20</v>
      </c>
      <c r="G64" s="17" t="s">
        <v>44</v>
      </c>
      <c r="H64" s="17">
        <v>3</v>
      </c>
      <c r="I64" s="19">
        <v>87564</v>
      </c>
      <c r="J64" s="17" t="s">
        <v>61</v>
      </c>
      <c r="K64" s="17" t="s">
        <v>62</v>
      </c>
      <c r="L64" s="17" t="s">
        <v>53</v>
      </c>
      <c r="M64" s="17" t="s">
        <v>36</v>
      </c>
      <c r="N64" s="17" t="s">
        <v>26</v>
      </c>
      <c r="O64" s="17">
        <v>7</v>
      </c>
      <c r="P64" s="17" t="s">
        <v>27</v>
      </c>
      <c r="Q64" s="16"/>
    </row>
    <row r="65" spans="1:17" ht="14.25">
      <c r="A65" s="17" t="s">
        <v>138</v>
      </c>
      <c r="B65" s="18">
        <v>45387</v>
      </c>
      <c r="C65" s="17" t="s">
        <v>46</v>
      </c>
      <c r="D65" s="17" t="s">
        <v>18</v>
      </c>
      <c r="E65" s="17" t="s">
        <v>64</v>
      </c>
      <c r="F65" s="17" t="s">
        <v>32</v>
      </c>
      <c r="G65" s="17" t="s">
        <v>21</v>
      </c>
      <c r="H65" s="17">
        <v>28</v>
      </c>
      <c r="I65" s="19">
        <v>60687</v>
      </c>
      <c r="J65" s="17" t="s">
        <v>111</v>
      </c>
      <c r="K65" s="17" t="s">
        <v>48</v>
      </c>
      <c r="L65" s="17" t="s">
        <v>49</v>
      </c>
      <c r="M65" s="17" t="s">
        <v>25</v>
      </c>
      <c r="N65" s="17" t="s">
        <v>37</v>
      </c>
      <c r="O65" s="17">
        <v>14</v>
      </c>
      <c r="P65" s="17" t="s">
        <v>27</v>
      </c>
      <c r="Q65" s="16"/>
    </row>
    <row r="66" spans="1:17" ht="14.25">
      <c r="A66" s="17" t="s">
        <v>139</v>
      </c>
      <c r="B66" s="18">
        <v>45584</v>
      </c>
      <c r="C66" s="17" t="s">
        <v>60</v>
      </c>
      <c r="D66" s="17" t="s">
        <v>89</v>
      </c>
      <c r="E66" s="17" t="s">
        <v>39</v>
      </c>
      <c r="F66" s="17" t="s">
        <v>32</v>
      </c>
      <c r="G66" s="17" t="s">
        <v>21</v>
      </c>
      <c r="H66" s="17">
        <v>1</v>
      </c>
      <c r="I66" s="19">
        <v>74698</v>
      </c>
      <c r="J66" s="17" t="s">
        <v>103</v>
      </c>
      <c r="K66" s="17" t="s">
        <v>62</v>
      </c>
      <c r="L66" s="17" t="s">
        <v>49</v>
      </c>
      <c r="M66" s="17" t="s">
        <v>90</v>
      </c>
      <c r="N66" s="17" t="s">
        <v>26</v>
      </c>
      <c r="O66" s="17">
        <v>3</v>
      </c>
      <c r="P66" s="17" t="s">
        <v>26</v>
      </c>
      <c r="Q66" s="16"/>
    </row>
    <row r="67" spans="1:17" ht="14.25">
      <c r="A67" s="17" t="s">
        <v>140</v>
      </c>
      <c r="B67" s="18">
        <v>45575</v>
      </c>
      <c r="C67" s="17" t="s">
        <v>55</v>
      </c>
      <c r="D67" s="17" t="s">
        <v>30</v>
      </c>
      <c r="E67" s="17" t="s">
        <v>39</v>
      </c>
      <c r="F67" s="17" t="s">
        <v>74</v>
      </c>
      <c r="G67" s="17" t="s">
        <v>41</v>
      </c>
      <c r="H67" s="17">
        <v>1</v>
      </c>
      <c r="I67" s="19">
        <v>29064</v>
      </c>
      <c r="J67" s="17" t="s">
        <v>56</v>
      </c>
      <c r="K67" s="17" t="s">
        <v>57</v>
      </c>
      <c r="L67" s="17" t="s">
        <v>75</v>
      </c>
      <c r="M67" s="17" t="s">
        <v>36</v>
      </c>
      <c r="N67" s="17" t="s">
        <v>26</v>
      </c>
      <c r="O67" s="17">
        <v>7</v>
      </c>
      <c r="P67" s="17" t="s">
        <v>26</v>
      </c>
      <c r="Q67" s="16"/>
    </row>
    <row r="68" spans="1:17" ht="14.25">
      <c r="A68" s="17" t="s">
        <v>141</v>
      </c>
      <c r="B68" s="18">
        <v>45602</v>
      </c>
      <c r="C68" s="17" t="s">
        <v>46</v>
      </c>
      <c r="D68" s="17" t="s">
        <v>30</v>
      </c>
      <c r="E68" s="17" t="s">
        <v>39</v>
      </c>
      <c r="F68" s="17" t="s">
        <v>72</v>
      </c>
      <c r="G68" s="17" t="s">
        <v>83</v>
      </c>
      <c r="H68" s="17">
        <v>14</v>
      </c>
      <c r="I68" s="19">
        <v>86825</v>
      </c>
      <c r="J68" s="17" t="s">
        <v>111</v>
      </c>
      <c r="K68" s="17" t="s">
        <v>48</v>
      </c>
      <c r="L68" s="17" t="s">
        <v>24</v>
      </c>
      <c r="M68" s="17" t="s">
        <v>36</v>
      </c>
      <c r="N68" s="17" t="s">
        <v>26</v>
      </c>
      <c r="O68" s="17">
        <v>7</v>
      </c>
      <c r="P68" s="17" t="s">
        <v>37</v>
      </c>
      <c r="Q68" s="16"/>
    </row>
    <row r="69" spans="1:17" ht="14.25">
      <c r="A69" s="17" t="s">
        <v>142</v>
      </c>
      <c r="B69" s="18">
        <v>45634</v>
      </c>
      <c r="C69" s="17" t="s">
        <v>60</v>
      </c>
      <c r="D69" s="17" t="s">
        <v>18</v>
      </c>
      <c r="E69" s="17" t="s">
        <v>39</v>
      </c>
      <c r="F69" s="17" t="s">
        <v>20</v>
      </c>
      <c r="G69" s="17" t="s">
        <v>21</v>
      </c>
      <c r="H69" s="17">
        <v>19</v>
      </c>
      <c r="I69" s="19">
        <v>97273</v>
      </c>
      <c r="J69" s="17" t="s">
        <v>77</v>
      </c>
      <c r="K69" s="17" t="s">
        <v>62</v>
      </c>
      <c r="L69" s="17" t="s">
        <v>35</v>
      </c>
      <c r="M69" s="17" t="s">
        <v>25</v>
      </c>
      <c r="N69" s="17" t="s">
        <v>26</v>
      </c>
      <c r="O69" s="17">
        <v>14</v>
      </c>
      <c r="P69" s="17" t="s">
        <v>37</v>
      </c>
      <c r="Q69" s="16"/>
    </row>
    <row r="70" spans="1:17" ht="14.25">
      <c r="A70" s="17" t="s">
        <v>143</v>
      </c>
      <c r="B70" s="18">
        <v>45508</v>
      </c>
      <c r="C70" s="17" t="s">
        <v>60</v>
      </c>
      <c r="D70" s="17" t="s">
        <v>18</v>
      </c>
      <c r="E70" s="17" t="s">
        <v>64</v>
      </c>
      <c r="F70" s="17" t="s">
        <v>74</v>
      </c>
      <c r="G70" s="17" t="s">
        <v>21</v>
      </c>
      <c r="H70" s="17">
        <v>24</v>
      </c>
      <c r="I70" s="19">
        <v>56386</v>
      </c>
      <c r="J70" s="17" t="s">
        <v>77</v>
      </c>
      <c r="K70" s="17" t="s">
        <v>62</v>
      </c>
      <c r="L70" s="17" t="s">
        <v>75</v>
      </c>
      <c r="M70" s="17" t="s">
        <v>25</v>
      </c>
      <c r="N70" s="17" t="s">
        <v>26</v>
      </c>
      <c r="O70" s="17">
        <v>14</v>
      </c>
      <c r="P70" s="17" t="s">
        <v>27</v>
      </c>
      <c r="Q70" s="16"/>
    </row>
    <row r="71" spans="1:17" ht="14.25">
      <c r="A71" s="17" t="s">
        <v>144</v>
      </c>
      <c r="B71" s="18">
        <v>45455</v>
      </c>
      <c r="C71" s="17" t="s">
        <v>17</v>
      </c>
      <c r="D71" s="17" t="s">
        <v>30</v>
      </c>
      <c r="E71" s="17" t="s">
        <v>19</v>
      </c>
      <c r="F71" s="17" t="s">
        <v>32</v>
      </c>
      <c r="G71" s="17" t="s">
        <v>21</v>
      </c>
      <c r="H71" s="17">
        <v>24</v>
      </c>
      <c r="I71" s="19">
        <v>28873</v>
      </c>
      <c r="J71" s="17" t="s">
        <v>86</v>
      </c>
      <c r="K71" s="17" t="s">
        <v>23</v>
      </c>
      <c r="L71" s="17" t="s">
        <v>49</v>
      </c>
      <c r="M71" s="17" t="s">
        <v>36</v>
      </c>
      <c r="N71" s="17" t="s">
        <v>26</v>
      </c>
      <c r="O71" s="17">
        <v>7</v>
      </c>
      <c r="P71" s="17" t="s">
        <v>27</v>
      </c>
      <c r="Q71" s="16"/>
    </row>
    <row r="72" spans="1:17" ht="14.25">
      <c r="A72" s="17" t="s">
        <v>145</v>
      </c>
      <c r="B72" s="18">
        <v>45655</v>
      </c>
      <c r="C72" s="17" t="s">
        <v>46</v>
      </c>
      <c r="D72" s="17" t="s">
        <v>51</v>
      </c>
      <c r="E72" s="17" t="s">
        <v>31</v>
      </c>
      <c r="F72" s="17" t="s">
        <v>32</v>
      </c>
      <c r="G72" s="17" t="s">
        <v>41</v>
      </c>
      <c r="H72" s="17">
        <v>11</v>
      </c>
      <c r="I72" s="19">
        <v>19360</v>
      </c>
      <c r="J72" s="17" t="s">
        <v>47</v>
      </c>
      <c r="K72" s="17" t="s">
        <v>48</v>
      </c>
      <c r="L72" s="17" t="s">
        <v>35</v>
      </c>
      <c r="M72" s="17" t="s">
        <v>53</v>
      </c>
      <c r="N72" s="17" t="s">
        <v>26</v>
      </c>
      <c r="O72" s="17">
        <v>30</v>
      </c>
      <c r="P72" s="17" t="s">
        <v>27</v>
      </c>
      <c r="Q72" s="16"/>
    </row>
    <row r="73" spans="1:17" ht="14.25">
      <c r="A73" s="17" t="s">
        <v>146</v>
      </c>
      <c r="B73" s="18">
        <v>45563</v>
      </c>
      <c r="C73" s="17" t="s">
        <v>17</v>
      </c>
      <c r="D73" s="17" t="s">
        <v>18</v>
      </c>
      <c r="E73" s="17" t="s">
        <v>64</v>
      </c>
      <c r="F73" s="17" t="s">
        <v>72</v>
      </c>
      <c r="G73" s="17" t="s">
        <v>41</v>
      </c>
      <c r="H73" s="17">
        <v>26</v>
      </c>
      <c r="I73" s="19">
        <v>72918</v>
      </c>
      <c r="J73" s="17" t="s">
        <v>22</v>
      </c>
      <c r="K73" s="17" t="s">
        <v>23</v>
      </c>
      <c r="L73" s="17" t="s">
        <v>24</v>
      </c>
      <c r="M73" s="17" t="s">
        <v>25</v>
      </c>
      <c r="N73" s="17" t="s">
        <v>26</v>
      </c>
      <c r="O73" s="17">
        <v>14</v>
      </c>
      <c r="P73" s="17" t="s">
        <v>27</v>
      </c>
      <c r="Q73" s="16"/>
    </row>
    <row r="74" spans="1:17" ht="14.25">
      <c r="A74" s="17" t="s">
        <v>147</v>
      </c>
      <c r="B74" s="18">
        <v>45631</v>
      </c>
      <c r="C74" s="17" t="s">
        <v>55</v>
      </c>
      <c r="D74" s="17" t="s">
        <v>89</v>
      </c>
      <c r="E74" s="17" t="s">
        <v>39</v>
      </c>
      <c r="F74" s="17" t="s">
        <v>72</v>
      </c>
      <c r="G74" s="17" t="s">
        <v>21</v>
      </c>
      <c r="H74" s="17">
        <v>2</v>
      </c>
      <c r="I74" s="19">
        <v>79748</v>
      </c>
      <c r="J74" s="17" t="s">
        <v>66</v>
      </c>
      <c r="K74" s="17" t="s">
        <v>57</v>
      </c>
      <c r="L74" s="17" t="s">
        <v>58</v>
      </c>
      <c r="M74" s="17" t="s">
        <v>90</v>
      </c>
      <c r="N74" s="17" t="s">
        <v>26</v>
      </c>
      <c r="O74" s="17">
        <v>3</v>
      </c>
      <c r="P74" s="17" t="s">
        <v>26</v>
      </c>
      <c r="Q74" s="16"/>
    </row>
    <row r="75" spans="1:17" ht="14.25">
      <c r="A75" s="17" t="s">
        <v>148</v>
      </c>
      <c r="B75" s="18">
        <v>45493</v>
      </c>
      <c r="C75" s="17" t="s">
        <v>29</v>
      </c>
      <c r="D75" s="17" t="s">
        <v>18</v>
      </c>
      <c r="E75" s="17" t="s">
        <v>31</v>
      </c>
      <c r="F75" s="17" t="s">
        <v>74</v>
      </c>
      <c r="G75" s="17" t="s">
        <v>83</v>
      </c>
      <c r="H75" s="17">
        <v>16</v>
      </c>
      <c r="I75" s="19">
        <v>79882</v>
      </c>
      <c r="J75" s="17" t="s">
        <v>99</v>
      </c>
      <c r="K75" s="17" t="s">
        <v>34</v>
      </c>
      <c r="L75" s="17" t="s">
        <v>75</v>
      </c>
      <c r="M75" s="17" t="s">
        <v>25</v>
      </c>
      <c r="N75" s="17" t="s">
        <v>26</v>
      </c>
      <c r="O75" s="17">
        <v>14</v>
      </c>
      <c r="P75" s="17" t="s">
        <v>27</v>
      </c>
      <c r="Q75" s="16"/>
    </row>
    <row r="76" spans="1:17" ht="14.25">
      <c r="A76" s="17" t="s">
        <v>149</v>
      </c>
      <c r="B76" s="18">
        <v>45563</v>
      </c>
      <c r="C76" s="17" t="s">
        <v>46</v>
      </c>
      <c r="D76" s="17" t="s">
        <v>30</v>
      </c>
      <c r="E76" s="17" t="s">
        <v>19</v>
      </c>
      <c r="F76" s="17" t="s">
        <v>74</v>
      </c>
      <c r="G76" s="17" t="s">
        <v>21</v>
      </c>
      <c r="H76" s="17">
        <v>8</v>
      </c>
      <c r="I76" s="19">
        <v>82747</v>
      </c>
      <c r="J76" s="17" t="s">
        <v>111</v>
      </c>
      <c r="K76" s="17" t="s">
        <v>48</v>
      </c>
      <c r="L76" s="17" t="s">
        <v>75</v>
      </c>
      <c r="M76" s="17" t="s">
        <v>36</v>
      </c>
      <c r="N76" s="17" t="s">
        <v>37</v>
      </c>
      <c r="O76" s="17">
        <v>7</v>
      </c>
      <c r="P76" s="17" t="s">
        <v>27</v>
      </c>
      <c r="Q76" s="16"/>
    </row>
    <row r="77" spans="1:17" ht="14.25">
      <c r="A77" s="17" t="s">
        <v>150</v>
      </c>
      <c r="B77" s="18">
        <v>45459</v>
      </c>
      <c r="C77" s="17" t="s">
        <v>17</v>
      </c>
      <c r="D77" s="17" t="s">
        <v>51</v>
      </c>
      <c r="E77" s="17" t="s">
        <v>31</v>
      </c>
      <c r="F77" s="17" t="s">
        <v>40</v>
      </c>
      <c r="G77" s="17" t="s">
        <v>44</v>
      </c>
      <c r="H77" s="17">
        <v>22</v>
      </c>
      <c r="I77" s="19">
        <v>21997</v>
      </c>
      <c r="J77" s="17" t="s">
        <v>42</v>
      </c>
      <c r="K77" s="17" t="s">
        <v>23</v>
      </c>
      <c r="L77" s="17" t="s">
        <v>35</v>
      </c>
      <c r="M77" s="17" t="s">
        <v>53</v>
      </c>
      <c r="N77" s="17" t="s">
        <v>26</v>
      </c>
      <c r="O77" s="17">
        <v>30</v>
      </c>
      <c r="P77" s="17" t="s">
        <v>27</v>
      </c>
      <c r="Q77" s="16"/>
    </row>
    <row r="78" spans="1:17" ht="14.25">
      <c r="A78" s="17" t="s">
        <v>151</v>
      </c>
      <c r="B78" s="18">
        <v>45328</v>
      </c>
      <c r="C78" s="17" t="s">
        <v>55</v>
      </c>
      <c r="D78" s="17" t="s">
        <v>18</v>
      </c>
      <c r="E78" s="17" t="s">
        <v>19</v>
      </c>
      <c r="F78" s="17" t="s">
        <v>32</v>
      </c>
      <c r="G78" s="17" t="s">
        <v>21</v>
      </c>
      <c r="H78" s="17">
        <v>23</v>
      </c>
      <c r="I78" s="19">
        <v>75261</v>
      </c>
      <c r="J78" s="17" t="s">
        <v>109</v>
      </c>
      <c r="K78" s="17" t="s">
        <v>57</v>
      </c>
      <c r="L78" s="17" t="s">
        <v>35</v>
      </c>
      <c r="M78" s="17" t="s">
        <v>25</v>
      </c>
      <c r="N78" s="17" t="s">
        <v>26</v>
      </c>
      <c r="O78" s="17">
        <v>14</v>
      </c>
      <c r="P78" s="17" t="s">
        <v>27</v>
      </c>
      <c r="Q78" s="16"/>
    </row>
    <row r="79" spans="1:17" ht="14.25">
      <c r="A79" s="17" t="s">
        <v>152</v>
      </c>
      <c r="B79" s="18">
        <v>45297</v>
      </c>
      <c r="C79" s="17" t="s">
        <v>29</v>
      </c>
      <c r="D79" s="17" t="s">
        <v>18</v>
      </c>
      <c r="E79" s="17" t="s">
        <v>19</v>
      </c>
      <c r="F79" s="17" t="s">
        <v>32</v>
      </c>
      <c r="G79" s="17" t="s">
        <v>41</v>
      </c>
      <c r="H79" s="17">
        <v>22</v>
      </c>
      <c r="I79" s="19">
        <v>73401</v>
      </c>
      <c r="J79" s="17" t="s">
        <v>99</v>
      </c>
      <c r="K79" s="17" t="s">
        <v>34</v>
      </c>
      <c r="L79" s="17" t="s">
        <v>58</v>
      </c>
      <c r="M79" s="17" t="s">
        <v>25</v>
      </c>
      <c r="N79" s="17" t="s">
        <v>26</v>
      </c>
      <c r="O79" s="17">
        <v>14</v>
      </c>
      <c r="P79" s="17" t="s">
        <v>27</v>
      </c>
      <c r="Q79" s="16"/>
    </row>
    <row r="80" spans="1:17" ht="14.25">
      <c r="A80" s="17" t="s">
        <v>153</v>
      </c>
      <c r="B80" s="18">
        <v>45649</v>
      </c>
      <c r="C80" s="17" t="s">
        <v>29</v>
      </c>
      <c r="D80" s="17" t="s">
        <v>89</v>
      </c>
      <c r="E80" s="17" t="s">
        <v>39</v>
      </c>
      <c r="F80" s="17" t="s">
        <v>72</v>
      </c>
      <c r="G80" s="17" t="s">
        <v>41</v>
      </c>
      <c r="H80" s="17">
        <v>19</v>
      </c>
      <c r="I80" s="19">
        <v>20296</v>
      </c>
      <c r="J80" s="17" t="s">
        <v>33</v>
      </c>
      <c r="K80" s="17" t="s">
        <v>34</v>
      </c>
      <c r="L80" s="17" t="s">
        <v>58</v>
      </c>
      <c r="M80" s="17" t="s">
        <v>90</v>
      </c>
      <c r="N80" s="17" t="s">
        <v>26</v>
      </c>
      <c r="O80" s="17">
        <v>3</v>
      </c>
      <c r="P80" s="17" t="s">
        <v>37</v>
      </c>
      <c r="Q80" s="16"/>
    </row>
    <row r="81" spans="1:17" ht="14.25">
      <c r="A81" s="17" t="s">
        <v>154</v>
      </c>
      <c r="B81" s="18">
        <v>45429</v>
      </c>
      <c r="C81" s="17" t="s">
        <v>60</v>
      </c>
      <c r="D81" s="17" t="s">
        <v>18</v>
      </c>
      <c r="E81" s="17" t="s">
        <v>39</v>
      </c>
      <c r="F81" s="17" t="s">
        <v>72</v>
      </c>
      <c r="G81" s="17" t="s">
        <v>83</v>
      </c>
      <c r="H81" s="17">
        <v>8</v>
      </c>
      <c r="I81" s="19">
        <v>45561</v>
      </c>
      <c r="J81" s="17" t="s">
        <v>103</v>
      </c>
      <c r="K81" s="17" t="s">
        <v>62</v>
      </c>
      <c r="L81" s="17" t="s">
        <v>58</v>
      </c>
      <c r="M81" s="17" t="s">
        <v>25</v>
      </c>
      <c r="N81" s="17" t="s">
        <v>26</v>
      </c>
      <c r="O81" s="17">
        <v>14</v>
      </c>
      <c r="P81" s="17" t="s">
        <v>26</v>
      </c>
      <c r="Q81" s="16"/>
    </row>
    <row r="82" spans="1:17" ht="14.25">
      <c r="A82" s="17" t="s">
        <v>155</v>
      </c>
      <c r="B82" s="18">
        <v>45598</v>
      </c>
      <c r="C82" s="17" t="s">
        <v>17</v>
      </c>
      <c r="D82" s="17" t="s">
        <v>30</v>
      </c>
      <c r="E82" s="17" t="s">
        <v>39</v>
      </c>
      <c r="F82" s="17" t="s">
        <v>20</v>
      </c>
      <c r="G82" s="17" t="s">
        <v>41</v>
      </c>
      <c r="H82" s="17">
        <v>4</v>
      </c>
      <c r="I82" s="19">
        <v>23422</v>
      </c>
      <c r="J82" s="17" t="s">
        <v>42</v>
      </c>
      <c r="K82" s="17" t="s">
        <v>23</v>
      </c>
      <c r="L82" s="17" t="s">
        <v>24</v>
      </c>
      <c r="M82" s="17" t="s">
        <v>36</v>
      </c>
      <c r="N82" s="17" t="s">
        <v>26</v>
      </c>
      <c r="O82" s="17">
        <v>7</v>
      </c>
      <c r="P82" s="17" t="s">
        <v>26</v>
      </c>
      <c r="Q82" s="16"/>
    </row>
    <row r="83" spans="1:17" ht="14.25">
      <c r="A83" s="17" t="s">
        <v>156</v>
      </c>
      <c r="B83" s="18">
        <v>45648</v>
      </c>
      <c r="C83" s="17" t="s">
        <v>68</v>
      </c>
      <c r="D83" s="17" t="s">
        <v>51</v>
      </c>
      <c r="E83" s="17" t="s">
        <v>19</v>
      </c>
      <c r="F83" s="17" t="s">
        <v>40</v>
      </c>
      <c r="G83" s="17" t="s">
        <v>41</v>
      </c>
      <c r="H83" s="17">
        <v>24</v>
      </c>
      <c r="I83" s="19">
        <v>20051</v>
      </c>
      <c r="J83" s="17" t="s">
        <v>79</v>
      </c>
      <c r="K83" s="17" t="s">
        <v>70</v>
      </c>
      <c r="L83" s="17" t="s">
        <v>121</v>
      </c>
      <c r="M83" s="17" t="s">
        <v>53</v>
      </c>
      <c r="N83" s="17" t="s">
        <v>26</v>
      </c>
      <c r="O83" s="17">
        <v>30</v>
      </c>
      <c r="P83" s="17" t="s">
        <v>27</v>
      </c>
      <c r="Q83" s="16"/>
    </row>
    <row r="84" spans="1:17" ht="14.25">
      <c r="A84" s="17" t="s">
        <v>157</v>
      </c>
      <c r="B84" s="18">
        <v>45502</v>
      </c>
      <c r="C84" s="17" t="s">
        <v>60</v>
      </c>
      <c r="D84" s="17" t="s">
        <v>89</v>
      </c>
      <c r="E84" s="17" t="s">
        <v>39</v>
      </c>
      <c r="F84" s="17" t="s">
        <v>74</v>
      </c>
      <c r="G84" s="17" t="s">
        <v>21</v>
      </c>
      <c r="H84" s="17">
        <v>13</v>
      </c>
      <c r="I84" s="19">
        <v>95181</v>
      </c>
      <c r="J84" s="17" t="s">
        <v>103</v>
      </c>
      <c r="K84" s="17" t="s">
        <v>62</v>
      </c>
      <c r="L84" s="17" t="s">
        <v>75</v>
      </c>
      <c r="M84" s="17" t="s">
        <v>90</v>
      </c>
      <c r="N84" s="17" t="s">
        <v>26</v>
      </c>
      <c r="O84" s="17">
        <v>3</v>
      </c>
      <c r="P84" s="17" t="s">
        <v>37</v>
      </c>
      <c r="Q84" s="16"/>
    </row>
    <row r="85" spans="1:17" ht="14.25">
      <c r="A85" s="17" t="s">
        <v>158</v>
      </c>
      <c r="B85" s="18">
        <v>45294</v>
      </c>
      <c r="C85" s="17" t="s">
        <v>68</v>
      </c>
      <c r="D85" s="17" t="s">
        <v>18</v>
      </c>
      <c r="E85" s="17" t="s">
        <v>19</v>
      </c>
      <c r="F85" s="17" t="s">
        <v>32</v>
      </c>
      <c r="G85" s="17" t="s">
        <v>83</v>
      </c>
      <c r="H85" s="17">
        <v>15</v>
      </c>
      <c r="I85" s="19">
        <v>28422</v>
      </c>
      <c r="J85" s="17" t="s">
        <v>79</v>
      </c>
      <c r="K85" s="17" t="s">
        <v>70</v>
      </c>
      <c r="L85" s="17" t="s">
        <v>58</v>
      </c>
      <c r="M85" s="17" t="s">
        <v>25</v>
      </c>
      <c r="N85" s="17" t="s">
        <v>37</v>
      </c>
      <c r="O85" s="17">
        <v>14</v>
      </c>
      <c r="P85" s="17" t="s">
        <v>27</v>
      </c>
      <c r="Q85" s="16"/>
    </row>
    <row r="86" spans="1:17" ht="14.25">
      <c r="A86" s="17" t="s">
        <v>159</v>
      </c>
      <c r="B86" s="18">
        <v>45590</v>
      </c>
      <c r="C86" s="17" t="s">
        <v>17</v>
      </c>
      <c r="D86" s="17" t="s">
        <v>18</v>
      </c>
      <c r="E86" s="17" t="s">
        <v>64</v>
      </c>
      <c r="F86" s="17" t="s">
        <v>40</v>
      </c>
      <c r="G86" s="17" t="s">
        <v>41</v>
      </c>
      <c r="H86" s="17">
        <v>6</v>
      </c>
      <c r="I86" s="19">
        <v>74083</v>
      </c>
      <c r="J86" s="17" t="s">
        <v>22</v>
      </c>
      <c r="K86" s="17" t="s">
        <v>23</v>
      </c>
      <c r="L86" s="17" t="s">
        <v>58</v>
      </c>
      <c r="M86" s="17" t="s">
        <v>25</v>
      </c>
      <c r="N86" s="17" t="s">
        <v>26</v>
      </c>
      <c r="O86" s="17">
        <v>14</v>
      </c>
      <c r="P86" s="17" t="s">
        <v>27</v>
      </c>
      <c r="Q86" s="16"/>
    </row>
    <row r="87" spans="1:17" ht="14.25">
      <c r="A87" s="17" t="s">
        <v>160</v>
      </c>
      <c r="B87" s="18">
        <v>45546</v>
      </c>
      <c r="C87" s="17" t="s">
        <v>68</v>
      </c>
      <c r="D87" s="17" t="s">
        <v>30</v>
      </c>
      <c r="E87" s="17" t="s">
        <v>64</v>
      </c>
      <c r="F87" s="17" t="s">
        <v>32</v>
      </c>
      <c r="G87" s="17" t="s">
        <v>21</v>
      </c>
      <c r="H87" s="17">
        <v>23</v>
      </c>
      <c r="I87" s="19">
        <v>71294</v>
      </c>
      <c r="J87" s="17" t="s">
        <v>93</v>
      </c>
      <c r="K87" s="17" t="s">
        <v>70</v>
      </c>
      <c r="L87" s="17" t="s">
        <v>58</v>
      </c>
      <c r="M87" s="17" t="s">
        <v>36</v>
      </c>
      <c r="N87" s="17" t="s">
        <v>26</v>
      </c>
      <c r="O87" s="17">
        <v>7</v>
      </c>
      <c r="P87" s="17" t="s">
        <v>27</v>
      </c>
      <c r="Q87" s="16"/>
    </row>
    <row r="88" spans="1:17" ht="14.25">
      <c r="A88" s="17" t="s">
        <v>161</v>
      </c>
      <c r="B88" s="18">
        <v>45497</v>
      </c>
      <c r="C88" s="17" t="s">
        <v>29</v>
      </c>
      <c r="D88" s="17" t="s">
        <v>18</v>
      </c>
      <c r="E88" s="17" t="s">
        <v>19</v>
      </c>
      <c r="F88" s="17" t="s">
        <v>32</v>
      </c>
      <c r="G88" s="17" t="s">
        <v>83</v>
      </c>
      <c r="H88" s="17">
        <v>29</v>
      </c>
      <c r="I88" s="19">
        <v>19340</v>
      </c>
      <c r="J88" s="17" t="s">
        <v>33</v>
      </c>
      <c r="K88" s="17" t="s">
        <v>34</v>
      </c>
      <c r="L88" s="17" t="s">
        <v>35</v>
      </c>
      <c r="M88" s="17" t="s">
        <v>25</v>
      </c>
      <c r="N88" s="17" t="s">
        <v>26</v>
      </c>
      <c r="O88" s="17">
        <v>14</v>
      </c>
      <c r="P88" s="17" t="s">
        <v>27</v>
      </c>
      <c r="Q88" s="16"/>
    </row>
    <row r="89" spans="1:17" ht="14.25">
      <c r="A89" s="17" t="s">
        <v>162</v>
      </c>
      <c r="B89" s="18">
        <v>45638</v>
      </c>
      <c r="C89" s="17" t="s">
        <v>17</v>
      </c>
      <c r="D89" s="17" t="s">
        <v>30</v>
      </c>
      <c r="E89" s="17" t="s">
        <v>64</v>
      </c>
      <c r="F89" s="17" t="s">
        <v>32</v>
      </c>
      <c r="G89" s="17" t="s">
        <v>44</v>
      </c>
      <c r="H89" s="17">
        <v>27</v>
      </c>
      <c r="I89" s="19">
        <v>74241</v>
      </c>
      <c r="J89" s="17" t="s">
        <v>86</v>
      </c>
      <c r="K89" s="17" t="s">
        <v>23</v>
      </c>
      <c r="L89" s="17" t="s">
        <v>49</v>
      </c>
      <c r="M89" s="17" t="s">
        <v>36</v>
      </c>
      <c r="N89" s="17" t="s">
        <v>26</v>
      </c>
      <c r="O89" s="17">
        <v>7</v>
      </c>
      <c r="P89" s="17" t="s">
        <v>27</v>
      </c>
      <c r="Q89" s="16"/>
    </row>
    <row r="90" spans="1:17" ht="14.25">
      <c r="A90" s="17" t="s">
        <v>163</v>
      </c>
      <c r="B90" s="18">
        <v>45297</v>
      </c>
      <c r="C90" s="17" t="s">
        <v>29</v>
      </c>
      <c r="D90" s="17" t="s">
        <v>89</v>
      </c>
      <c r="E90" s="17" t="s">
        <v>39</v>
      </c>
      <c r="F90" s="17" t="s">
        <v>20</v>
      </c>
      <c r="G90" s="17" t="s">
        <v>41</v>
      </c>
      <c r="H90" s="17">
        <v>19</v>
      </c>
      <c r="I90" s="19">
        <v>31401</v>
      </c>
      <c r="J90" s="17" t="s">
        <v>99</v>
      </c>
      <c r="K90" s="17" t="s">
        <v>34</v>
      </c>
      <c r="L90" s="17" t="s">
        <v>53</v>
      </c>
      <c r="M90" s="17" t="s">
        <v>90</v>
      </c>
      <c r="N90" s="17" t="s">
        <v>26</v>
      </c>
      <c r="O90" s="17">
        <v>3</v>
      </c>
      <c r="P90" s="17" t="s">
        <v>37</v>
      </c>
      <c r="Q90" s="16"/>
    </row>
    <row r="91" spans="1:17" ht="14.25">
      <c r="A91" s="17" t="s">
        <v>164</v>
      </c>
      <c r="B91" s="18">
        <v>45333</v>
      </c>
      <c r="C91" s="17" t="s">
        <v>68</v>
      </c>
      <c r="D91" s="17" t="s">
        <v>89</v>
      </c>
      <c r="E91" s="17" t="s">
        <v>39</v>
      </c>
      <c r="F91" s="17" t="s">
        <v>74</v>
      </c>
      <c r="G91" s="17" t="s">
        <v>83</v>
      </c>
      <c r="H91" s="17">
        <v>18</v>
      </c>
      <c r="I91" s="19">
        <v>57816</v>
      </c>
      <c r="J91" s="17" t="s">
        <v>93</v>
      </c>
      <c r="K91" s="17" t="s">
        <v>70</v>
      </c>
      <c r="L91" s="17" t="s">
        <v>75</v>
      </c>
      <c r="M91" s="17" t="s">
        <v>90</v>
      </c>
      <c r="N91" s="17" t="s">
        <v>26</v>
      </c>
      <c r="O91" s="17">
        <v>3</v>
      </c>
      <c r="P91" s="17" t="s">
        <v>37</v>
      </c>
      <c r="Q91" s="16"/>
    </row>
    <row r="92" spans="1:17" ht="14.25">
      <c r="A92" s="17" t="s">
        <v>165</v>
      </c>
      <c r="B92" s="18">
        <v>45437</v>
      </c>
      <c r="C92" s="17" t="s">
        <v>46</v>
      </c>
      <c r="D92" s="17" t="s">
        <v>30</v>
      </c>
      <c r="E92" s="17" t="s">
        <v>31</v>
      </c>
      <c r="F92" s="17" t="s">
        <v>74</v>
      </c>
      <c r="G92" s="17" t="s">
        <v>41</v>
      </c>
      <c r="H92" s="17">
        <v>24</v>
      </c>
      <c r="I92" s="19">
        <v>28630</v>
      </c>
      <c r="J92" s="17" t="s">
        <v>52</v>
      </c>
      <c r="K92" s="17" t="s">
        <v>48</v>
      </c>
      <c r="L92" s="17" t="s">
        <v>75</v>
      </c>
      <c r="M92" s="17" t="s">
        <v>36</v>
      </c>
      <c r="N92" s="17" t="s">
        <v>26</v>
      </c>
      <c r="O92" s="17">
        <v>7</v>
      </c>
      <c r="P92" s="17" t="s">
        <v>27</v>
      </c>
      <c r="Q92" s="16"/>
    </row>
    <row r="93" spans="1:17" ht="14.25">
      <c r="A93" s="17" t="s">
        <v>166</v>
      </c>
      <c r="B93" s="18">
        <v>45500</v>
      </c>
      <c r="C93" s="17" t="s">
        <v>46</v>
      </c>
      <c r="D93" s="17" t="s">
        <v>30</v>
      </c>
      <c r="E93" s="17" t="s">
        <v>31</v>
      </c>
      <c r="F93" s="17" t="s">
        <v>74</v>
      </c>
      <c r="G93" s="17" t="s">
        <v>41</v>
      </c>
      <c r="H93" s="17">
        <v>19</v>
      </c>
      <c r="I93" s="19">
        <v>98972</v>
      </c>
      <c r="J93" s="17" t="s">
        <v>52</v>
      </c>
      <c r="K93" s="17" t="s">
        <v>48</v>
      </c>
      <c r="L93" s="17" t="s">
        <v>58</v>
      </c>
      <c r="M93" s="17" t="s">
        <v>36</v>
      </c>
      <c r="N93" s="17" t="s">
        <v>26</v>
      </c>
      <c r="O93" s="17">
        <v>7</v>
      </c>
      <c r="P93" s="17" t="s">
        <v>27</v>
      </c>
      <c r="Q93" s="16"/>
    </row>
    <row r="94" spans="1:17" ht="14.25">
      <c r="A94" s="17" t="s">
        <v>167</v>
      </c>
      <c r="B94" s="18">
        <v>45505</v>
      </c>
      <c r="C94" s="17" t="s">
        <v>55</v>
      </c>
      <c r="D94" s="17" t="s">
        <v>18</v>
      </c>
      <c r="E94" s="17" t="s">
        <v>39</v>
      </c>
      <c r="F94" s="17" t="s">
        <v>32</v>
      </c>
      <c r="G94" s="17" t="s">
        <v>41</v>
      </c>
      <c r="H94" s="17">
        <v>2</v>
      </c>
      <c r="I94" s="19">
        <v>54175</v>
      </c>
      <c r="J94" s="17" t="s">
        <v>109</v>
      </c>
      <c r="K94" s="17" t="s">
        <v>57</v>
      </c>
      <c r="L94" s="17" t="s">
        <v>49</v>
      </c>
      <c r="M94" s="17" t="s">
        <v>25</v>
      </c>
      <c r="N94" s="17" t="s">
        <v>26</v>
      </c>
      <c r="O94" s="17">
        <v>14</v>
      </c>
      <c r="P94" s="17" t="s">
        <v>26</v>
      </c>
      <c r="Q94" s="16"/>
    </row>
    <row r="95" spans="1:17" ht="14.25">
      <c r="A95" s="17" t="s">
        <v>168</v>
      </c>
      <c r="B95" s="18">
        <v>45575</v>
      </c>
      <c r="C95" s="17" t="s">
        <v>68</v>
      </c>
      <c r="D95" s="17" t="s">
        <v>51</v>
      </c>
      <c r="E95" s="17" t="s">
        <v>39</v>
      </c>
      <c r="F95" s="17" t="s">
        <v>74</v>
      </c>
      <c r="G95" s="17" t="s">
        <v>83</v>
      </c>
      <c r="H95" s="17">
        <v>23</v>
      </c>
      <c r="I95" s="19">
        <v>64321</v>
      </c>
      <c r="J95" s="17" t="s">
        <v>93</v>
      </c>
      <c r="K95" s="17" t="s">
        <v>70</v>
      </c>
      <c r="L95" s="17" t="s">
        <v>24</v>
      </c>
      <c r="M95" s="17" t="s">
        <v>53</v>
      </c>
      <c r="N95" s="17" t="s">
        <v>26</v>
      </c>
      <c r="O95" s="17">
        <v>30</v>
      </c>
      <c r="P95" s="17" t="s">
        <v>26</v>
      </c>
      <c r="Q95" s="16"/>
    </row>
    <row r="96" spans="1:17" ht="14.25">
      <c r="A96" s="17" t="s">
        <v>169</v>
      </c>
      <c r="B96" s="18">
        <v>45520</v>
      </c>
      <c r="C96" s="17" t="s">
        <v>29</v>
      </c>
      <c r="D96" s="17" t="s">
        <v>18</v>
      </c>
      <c r="E96" s="17" t="s">
        <v>39</v>
      </c>
      <c r="F96" s="17" t="s">
        <v>20</v>
      </c>
      <c r="G96" s="17" t="s">
        <v>83</v>
      </c>
      <c r="H96" s="17">
        <v>5</v>
      </c>
      <c r="I96" s="19">
        <v>62319</v>
      </c>
      <c r="J96" s="17" t="s">
        <v>33</v>
      </c>
      <c r="K96" s="17" t="s">
        <v>34</v>
      </c>
      <c r="L96" s="17" t="s">
        <v>24</v>
      </c>
      <c r="M96" s="17" t="s">
        <v>25</v>
      </c>
      <c r="N96" s="17" t="s">
        <v>26</v>
      </c>
      <c r="O96" s="17">
        <v>14</v>
      </c>
      <c r="P96" s="17" t="s">
        <v>26</v>
      </c>
      <c r="Q96" s="16"/>
    </row>
    <row r="97" spans="1:17" ht="14.25">
      <c r="A97" s="17" t="s">
        <v>170</v>
      </c>
      <c r="B97" s="18">
        <v>45348</v>
      </c>
      <c r="C97" s="17" t="s">
        <v>68</v>
      </c>
      <c r="D97" s="17" t="s">
        <v>89</v>
      </c>
      <c r="E97" s="17" t="s">
        <v>39</v>
      </c>
      <c r="F97" s="17" t="s">
        <v>32</v>
      </c>
      <c r="G97" s="17" t="s">
        <v>83</v>
      </c>
      <c r="H97" s="17">
        <v>8</v>
      </c>
      <c r="I97" s="19">
        <v>27090</v>
      </c>
      <c r="J97" s="17" t="s">
        <v>69</v>
      </c>
      <c r="K97" s="17" t="s">
        <v>70</v>
      </c>
      <c r="L97" s="17" t="s">
        <v>49</v>
      </c>
      <c r="M97" s="17" t="s">
        <v>90</v>
      </c>
      <c r="N97" s="17" t="s">
        <v>26</v>
      </c>
      <c r="O97" s="17">
        <v>3</v>
      </c>
      <c r="P97" s="17" t="s">
        <v>37</v>
      </c>
      <c r="Q97" s="16"/>
    </row>
    <row r="98" spans="1:17" ht="14.25">
      <c r="A98" s="17" t="s">
        <v>171</v>
      </c>
      <c r="B98" s="18">
        <v>45311</v>
      </c>
      <c r="C98" s="17" t="s">
        <v>60</v>
      </c>
      <c r="D98" s="17" t="s">
        <v>89</v>
      </c>
      <c r="E98" s="17" t="s">
        <v>39</v>
      </c>
      <c r="F98" s="17" t="s">
        <v>72</v>
      </c>
      <c r="G98" s="17" t="s">
        <v>83</v>
      </c>
      <c r="H98" s="17">
        <v>3</v>
      </c>
      <c r="I98" s="19">
        <v>46924</v>
      </c>
      <c r="J98" s="17" t="s">
        <v>103</v>
      </c>
      <c r="K98" s="17" t="s">
        <v>62</v>
      </c>
      <c r="L98" s="17" t="s">
        <v>35</v>
      </c>
      <c r="M98" s="17" t="s">
        <v>90</v>
      </c>
      <c r="N98" s="17" t="s">
        <v>26</v>
      </c>
      <c r="O98" s="17">
        <v>3</v>
      </c>
      <c r="P98" s="17" t="s">
        <v>26</v>
      </c>
      <c r="Q98" s="16"/>
    </row>
    <row r="99" spans="1:17" ht="14.25">
      <c r="A99" s="17" t="s">
        <v>172</v>
      </c>
      <c r="B99" s="18">
        <v>45303</v>
      </c>
      <c r="C99" s="17" t="s">
        <v>68</v>
      </c>
      <c r="D99" s="17" t="s">
        <v>51</v>
      </c>
      <c r="E99" s="17" t="s">
        <v>39</v>
      </c>
      <c r="F99" s="17" t="s">
        <v>74</v>
      </c>
      <c r="G99" s="17" t="s">
        <v>41</v>
      </c>
      <c r="H99" s="17">
        <v>12</v>
      </c>
      <c r="I99" s="19">
        <v>78795</v>
      </c>
      <c r="J99" s="17" t="s">
        <v>93</v>
      </c>
      <c r="K99" s="17" t="s">
        <v>70</v>
      </c>
      <c r="L99" s="17" t="s">
        <v>24</v>
      </c>
      <c r="M99" s="17" t="s">
        <v>53</v>
      </c>
      <c r="N99" s="17" t="s">
        <v>26</v>
      </c>
      <c r="O99" s="17">
        <v>30</v>
      </c>
      <c r="P99" s="17" t="s">
        <v>26</v>
      </c>
      <c r="Q99" s="16"/>
    </row>
    <row r="100" spans="1:17" ht="14.25">
      <c r="A100" s="17" t="s">
        <v>173</v>
      </c>
      <c r="B100" s="18">
        <v>45543</v>
      </c>
      <c r="C100" s="17" t="s">
        <v>60</v>
      </c>
      <c r="D100" s="17" t="s">
        <v>18</v>
      </c>
      <c r="E100" s="17" t="s">
        <v>39</v>
      </c>
      <c r="F100" s="17" t="s">
        <v>74</v>
      </c>
      <c r="G100" s="17" t="s">
        <v>21</v>
      </c>
      <c r="H100" s="17">
        <v>12</v>
      </c>
      <c r="I100" s="19">
        <v>84564</v>
      </c>
      <c r="J100" s="17" t="s">
        <v>103</v>
      </c>
      <c r="K100" s="17" t="s">
        <v>62</v>
      </c>
      <c r="L100" s="17" t="s">
        <v>58</v>
      </c>
      <c r="M100" s="17" t="s">
        <v>25</v>
      </c>
      <c r="N100" s="17" t="s">
        <v>26</v>
      </c>
      <c r="O100" s="17">
        <v>14</v>
      </c>
      <c r="P100" s="17" t="s">
        <v>26</v>
      </c>
      <c r="Q100" s="16"/>
    </row>
    <row r="101" spans="1:17" ht="14.25">
      <c r="A101" s="17" t="s">
        <v>174</v>
      </c>
      <c r="B101" s="18">
        <v>45553</v>
      </c>
      <c r="C101" s="17" t="s">
        <v>55</v>
      </c>
      <c r="D101" s="17" t="s">
        <v>51</v>
      </c>
      <c r="E101" s="17" t="s">
        <v>19</v>
      </c>
      <c r="F101" s="17" t="s">
        <v>40</v>
      </c>
      <c r="G101" s="17" t="s">
        <v>21</v>
      </c>
      <c r="H101" s="17">
        <v>16</v>
      </c>
      <c r="I101" s="19">
        <v>33344</v>
      </c>
      <c r="J101" s="17" t="s">
        <v>109</v>
      </c>
      <c r="K101" s="17" t="s">
        <v>57</v>
      </c>
      <c r="L101" s="17" t="s">
        <v>121</v>
      </c>
      <c r="M101" s="17" t="s">
        <v>53</v>
      </c>
      <c r="N101" s="17" t="s">
        <v>26</v>
      </c>
      <c r="O101" s="17">
        <v>30</v>
      </c>
      <c r="P101" s="17" t="s">
        <v>27</v>
      </c>
      <c r="Q101" s="16"/>
    </row>
    <row r="102" spans="1:17" ht="14.25">
      <c r="A102" s="17" t="s">
        <v>175</v>
      </c>
      <c r="B102" s="18">
        <v>45997</v>
      </c>
      <c r="C102" s="17" t="s">
        <v>46</v>
      </c>
      <c r="D102" s="17" t="s">
        <v>51</v>
      </c>
      <c r="E102" s="17" t="s">
        <v>39</v>
      </c>
      <c r="F102" s="17" t="s">
        <v>176</v>
      </c>
      <c r="G102" s="17" t="s">
        <v>177</v>
      </c>
      <c r="H102" s="17">
        <v>19</v>
      </c>
      <c r="I102" s="19">
        <v>20930</v>
      </c>
      <c r="J102" s="17" t="s">
        <v>111</v>
      </c>
      <c r="K102" s="17" t="s">
        <v>48</v>
      </c>
      <c r="L102" s="17" t="s">
        <v>35</v>
      </c>
      <c r="M102" s="17" t="s">
        <v>53</v>
      </c>
      <c r="N102" s="17" t="s">
        <v>37</v>
      </c>
      <c r="O102" s="17">
        <v>30</v>
      </c>
      <c r="P102" s="17" t="s">
        <v>26</v>
      </c>
      <c r="Q102" s="16"/>
    </row>
    <row r="103" spans="1:17" ht="14.25">
      <c r="A103" s="17" t="s">
        <v>178</v>
      </c>
      <c r="B103" s="18">
        <v>45988</v>
      </c>
      <c r="C103" s="17" t="s">
        <v>179</v>
      </c>
      <c r="D103" s="17" t="s">
        <v>30</v>
      </c>
      <c r="E103" s="17" t="s">
        <v>64</v>
      </c>
      <c r="F103" s="17" t="s">
        <v>74</v>
      </c>
      <c r="G103" s="17" t="s">
        <v>21</v>
      </c>
      <c r="H103" s="17">
        <v>10</v>
      </c>
      <c r="I103" s="19">
        <v>22970</v>
      </c>
      <c r="J103" s="17" t="s">
        <v>180</v>
      </c>
      <c r="K103" s="17" t="s">
        <v>181</v>
      </c>
      <c r="L103" s="17" t="s">
        <v>24</v>
      </c>
      <c r="M103" s="17" t="s">
        <v>36</v>
      </c>
      <c r="N103" s="17" t="s">
        <v>26</v>
      </c>
      <c r="O103" s="17">
        <v>7</v>
      </c>
      <c r="P103" s="17" t="s">
        <v>27</v>
      </c>
      <c r="Q103" s="16"/>
    </row>
    <row r="104" spans="1:17" ht="14.25">
      <c r="A104" s="17" t="s">
        <v>182</v>
      </c>
      <c r="B104" s="18">
        <v>45905</v>
      </c>
      <c r="C104" s="17" t="s">
        <v>68</v>
      </c>
      <c r="D104" s="17" t="s">
        <v>18</v>
      </c>
      <c r="E104" s="17" t="s">
        <v>31</v>
      </c>
      <c r="F104" s="17" t="s">
        <v>183</v>
      </c>
      <c r="G104" s="17" t="s">
        <v>177</v>
      </c>
      <c r="H104" s="17">
        <v>25</v>
      </c>
      <c r="I104" s="19">
        <v>36610</v>
      </c>
      <c r="J104" s="17" t="s">
        <v>69</v>
      </c>
      <c r="K104" s="17" t="s">
        <v>70</v>
      </c>
      <c r="L104" s="17" t="s">
        <v>58</v>
      </c>
      <c r="M104" s="17" t="s">
        <v>25</v>
      </c>
      <c r="N104" s="17" t="s">
        <v>26</v>
      </c>
      <c r="O104" s="17">
        <v>14</v>
      </c>
      <c r="P104" s="17" t="s">
        <v>27</v>
      </c>
      <c r="Q104" s="16"/>
    </row>
    <row r="105" spans="1:17" ht="14.25">
      <c r="A105" s="17" t="s">
        <v>184</v>
      </c>
      <c r="B105" s="18">
        <v>45899</v>
      </c>
      <c r="C105" s="17" t="s">
        <v>185</v>
      </c>
      <c r="D105" s="17" t="s">
        <v>18</v>
      </c>
      <c r="E105" s="17" t="s">
        <v>39</v>
      </c>
      <c r="F105" s="17" t="s">
        <v>20</v>
      </c>
      <c r="G105" s="17" t="s">
        <v>21</v>
      </c>
      <c r="H105" s="17">
        <v>18</v>
      </c>
      <c r="I105" s="19">
        <v>77790</v>
      </c>
      <c r="J105" s="17" t="s">
        <v>186</v>
      </c>
      <c r="K105" s="17" t="s">
        <v>187</v>
      </c>
      <c r="L105" s="17" t="s">
        <v>53</v>
      </c>
      <c r="M105" s="17" t="s">
        <v>25</v>
      </c>
      <c r="N105" s="17" t="s">
        <v>37</v>
      </c>
      <c r="O105" s="17">
        <v>14</v>
      </c>
      <c r="P105" s="17" t="s">
        <v>37</v>
      </c>
      <c r="Q105" s="16"/>
    </row>
    <row r="106" spans="1:17" ht="14.25">
      <c r="A106" s="17" t="s">
        <v>188</v>
      </c>
      <c r="B106" s="18">
        <v>46010</v>
      </c>
      <c r="C106" s="17" t="s">
        <v>46</v>
      </c>
      <c r="D106" s="17" t="s">
        <v>18</v>
      </c>
      <c r="E106" s="17" t="s">
        <v>39</v>
      </c>
      <c r="F106" s="17" t="s">
        <v>176</v>
      </c>
      <c r="G106" s="17" t="s">
        <v>177</v>
      </c>
      <c r="H106" s="17">
        <v>10</v>
      </c>
      <c r="I106" s="19">
        <v>35240</v>
      </c>
      <c r="J106" s="17" t="s">
        <v>52</v>
      </c>
      <c r="K106" s="17" t="s">
        <v>48</v>
      </c>
      <c r="L106" s="17" t="s">
        <v>58</v>
      </c>
      <c r="M106" s="17" t="s">
        <v>25</v>
      </c>
      <c r="N106" s="17" t="s">
        <v>37</v>
      </c>
      <c r="O106" s="17">
        <v>14</v>
      </c>
      <c r="P106" s="17" t="s">
        <v>26</v>
      </c>
      <c r="Q106" s="16"/>
    </row>
    <row r="107" spans="1:17" ht="14.25">
      <c r="A107" s="17" t="s">
        <v>189</v>
      </c>
      <c r="B107" s="18">
        <v>45850</v>
      </c>
      <c r="C107" s="17" t="s">
        <v>55</v>
      </c>
      <c r="D107" s="17" t="s">
        <v>30</v>
      </c>
      <c r="E107" s="17" t="s">
        <v>39</v>
      </c>
      <c r="F107" s="17" t="s">
        <v>32</v>
      </c>
      <c r="G107" s="17" t="s">
        <v>44</v>
      </c>
      <c r="H107" s="17">
        <v>7</v>
      </c>
      <c r="I107" s="19">
        <v>37200</v>
      </c>
      <c r="J107" s="17" t="s">
        <v>66</v>
      </c>
      <c r="K107" s="17" t="s">
        <v>57</v>
      </c>
      <c r="L107" s="17" t="s">
        <v>58</v>
      </c>
      <c r="M107" s="17" t="s">
        <v>36</v>
      </c>
      <c r="N107" s="17" t="s">
        <v>26</v>
      </c>
      <c r="O107" s="17">
        <v>7</v>
      </c>
      <c r="P107" s="17" t="s">
        <v>26</v>
      </c>
      <c r="Q107" s="16"/>
    </row>
    <row r="108" spans="1:17" ht="14.25">
      <c r="A108" s="17" t="s">
        <v>190</v>
      </c>
      <c r="B108" s="18">
        <v>45920</v>
      </c>
      <c r="C108" s="17" t="s">
        <v>60</v>
      </c>
      <c r="D108" s="17" t="s">
        <v>18</v>
      </c>
      <c r="E108" s="17" t="s">
        <v>39</v>
      </c>
      <c r="F108" s="17" t="s">
        <v>191</v>
      </c>
      <c r="G108" s="17" t="s">
        <v>41</v>
      </c>
      <c r="H108" s="17">
        <v>12</v>
      </c>
      <c r="I108" s="19">
        <v>56460</v>
      </c>
      <c r="J108" s="17" t="s">
        <v>77</v>
      </c>
      <c r="K108" s="17" t="s">
        <v>62</v>
      </c>
      <c r="L108" s="17" t="s">
        <v>192</v>
      </c>
      <c r="M108" s="17" t="s">
        <v>25</v>
      </c>
      <c r="N108" s="17" t="s">
        <v>37</v>
      </c>
      <c r="O108" s="17">
        <v>14</v>
      </c>
      <c r="P108" s="17" t="s">
        <v>26</v>
      </c>
      <c r="Q108" s="16"/>
    </row>
    <row r="109" spans="1:17" ht="14.25">
      <c r="A109" s="17" t="s">
        <v>193</v>
      </c>
      <c r="B109" s="18">
        <v>45867</v>
      </c>
      <c r="C109" s="17" t="s">
        <v>194</v>
      </c>
      <c r="D109" s="17" t="s">
        <v>30</v>
      </c>
      <c r="E109" s="17" t="s">
        <v>39</v>
      </c>
      <c r="F109" s="17" t="s">
        <v>183</v>
      </c>
      <c r="G109" s="17" t="s">
        <v>21</v>
      </c>
      <c r="H109" s="17">
        <v>1</v>
      </c>
      <c r="I109" s="19">
        <v>107350</v>
      </c>
      <c r="J109" s="17" t="s">
        <v>195</v>
      </c>
      <c r="K109" s="17" t="s">
        <v>196</v>
      </c>
      <c r="L109" s="17" t="s">
        <v>24</v>
      </c>
      <c r="M109" s="17" t="s">
        <v>36</v>
      </c>
      <c r="N109" s="17" t="s">
        <v>26</v>
      </c>
      <c r="O109" s="17">
        <v>7</v>
      </c>
      <c r="P109" s="17" t="s">
        <v>26</v>
      </c>
      <c r="Q109" s="16"/>
    </row>
    <row r="110" spans="1:17" ht="14.25">
      <c r="A110" s="17" t="s">
        <v>197</v>
      </c>
      <c r="B110" s="18">
        <v>45685</v>
      </c>
      <c r="C110" s="17" t="s">
        <v>55</v>
      </c>
      <c r="D110" s="17" t="s">
        <v>18</v>
      </c>
      <c r="E110" s="17" t="s">
        <v>39</v>
      </c>
      <c r="F110" s="17" t="s">
        <v>191</v>
      </c>
      <c r="G110" s="17" t="s">
        <v>44</v>
      </c>
      <c r="H110" s="17">
        <v>15</v>
      </c>
      <c r="I110" s="19">
        <v>13050</v>
      </c>
      <c r="J110" s="17" t="s">
        <v>56</v>
      </c>
      <c r="K110" s="17" t="s">
        <v>57</v>
      </c>
      <c r="L110" s="17" t="s">
        <v>58</v>
      </c>
      <c r="M110" s="17" t="s">
        <v>25</v>
      </c>
      <c r="N110" s="17" t="s">
        <v>26</v>
      </c>
      <c r="O110" s="17">
        <v>14</v>
      </c>
      <c r="P110" s="17" t="s">
        <v>37</v>
      </c>
      <c r="Q110" s="16"/>
    </row>
    <row r="111" spans="1:17" ht="14.25">
      <c r="A111" s="17" t="s">
        <v>198</v>
      </c>
      <c r="B111" s="18">
        <v>45996</v>
      </c>
      <c r="C111" s="17" t="s">
        <v>17</v>
      </c>
      <c r="D111" s="17" t="s">
        <v>51</v>
      </c>
      <c r="E111" s="17" t="s">
        <v>39</v>
      </c>
      <c r="F111" s="17" t="s">
        <v>191</v>
      </c>
      <c r="G111" s="17" t="s">
        <v>44</v>
      </c>
      <c r="H111" s="17">
        <v>28</v>
      </c>
      <c r="I111" s="19">
        <v>25350</v>
      </c>
      <c r="J111" s="17" t="s">
        <v>22</v>
      </c>
      <c r="K111" s="17" t="s">
        <v>23</v>
      </c>
      <c r="L111" s="17" t="s">
        <v>58</v>
      </c>
      <c r="M111" s="17" t="s">
        <v>53</v>
      </c>
      <c r="N111" s="17" t="s">
        <v>26</v>
      </c>
      <c r="O111" s="17">
        <v>30</v>
      </c>
      <c r="P111" s="17" t="s">
        <v>26</v>
      </c>
      <c r="Q111" s="16"/>
    </row>
    <row r="112" spans="1:17" ht="14.25">
      <c r="A112" s="17" t="s">
        <v>199</v>
      </c>
      <c r="B112" s="18">
        <v>45848</v>
      </c>
      <c r="C112" s="17" t="s">
        <v>194</v>
      </c>
      <c r="D112" s="17" t="s">
        <v>89</v>
      </c>
      <c r="E112" s="17" t="s">
        <v>39</v>
      </c>
      <c r="F112" s="17" t="s">
        <v>20</v>
      </c>
      <c r="G112" s="17" t="s">
        <v>21</v>
      </c>
      <c r="H112" s="17">
        <v>1</v>
      </c>
      <c r="I112" s="19">
        <v>191110</v>
      </c>
      <c r="J112" s="17" t="s">
        <v>200</v>
      </c>
      <c r="K112" s="17" t="s">
        <v>196</v>
      </c>
      <c r="L112" s="17" t="s">
        <v>35</v>
      </c>
      <c r="M112" s="17" t="s">
        <v>90</v>
      </c>
      <c r="N112" s="17" t="s">
        <v>26</v>
      </c>
      <c r="O112" s="17">
        <v>3</v>
      </c>
      <c r="P112" s="17" t="s">
        <v>26</v>
      </c>
      <c r="Q112" s="16"/>
    </row>
    <row r="113" spans="1:17" ht="14.25">
      <c r="A113" s="17" t="s">
        <v>201</v>
      </c>
      <c r="B113" s="18">
        <v>45941</v>
      </c>
      <c r="C113" s="17" t="s">
        <v>17</v>
      </c>
      <c r="D113" s="17" t="s">
        <v>18</v>
      </c>
      <c r="E113" s="17" t="s">
        <v>64</v>
      </c>
      <c r="F113" s="17" t="s">
        <v>72</v>
      </c>
      <c r="G113" s="17" t="s">
        <v>41</v>
      </c>
      <c r="H113" s="17">
        <v>30</v>
      </c>
      <c r="I113" s="19">
        <v>33460</v>
      </c>
      <c r="J113" s="17" t="s">
        <v>22</v>
      </c>
      <c r="K113" s="17" t="s">
        <v>23</v>
      </c>
      <c r="L113" s="17" t="s">
        <v>58</v>
      </c>
      <c r="M113" s="17" t="s">
        <v>25</v>
      </c>
      <c r="N113" s="17" t="s">
        <v>26</v>
      </c>
      <c r="O113" s="17">
        <v>14</v>
      </c>
      <c r="P113" s="17" t="s">
        <v>27</v>
      </c>
      <c r="Q113" s="16"/>
    </row>
    <row r="114" spans="1:17" ht="14.25">
      <c r="A114" s="17" t="s">
        <v>202</v>
      </c>
      <c r="B114" s="18">
        <v>46017</v>
      </c>
      <c r="C114" s="17" t="s">
        <v>203</v>
      </c>
      <c r="D114" s="17" t="s">
        <v>30</v>
      </c>
      <c r="E114" s="17" t="s">
        <v>19</v>
      </c>
      <c r="F114" s="17" t="s">
        <v>20</v>
      </c>
      <c r="G114" s="17" t="s">
        <v>204</v>
      </c>
      <c r="H114" s="17">
        <v>13</v>
      </c>
      <c r="I114" s="19">
        <v>105600</v>
      </c>
      <c r="J114" s="17" t="s">
        <v>55</v>
      </c>
      <c r="K114" s="17" t="s">
        <v>62</v>
      </c>
      <c r="L114" s="17" t="s">
        <v>24</v>
      </c>
      <c r="M114" s="17" t="s">
        <v>36</v>
      </c>
      <c r="N114" s="17" t="s">
        <v>26</v>
      </c>
      <c r="O114" s="17">
        <v>7</v>
      </c>
      <c r="P114" s="17" t="s">
        <v>27</v>
      </c>
      <c r="Q114" s="16"/>
    </row>
    <row r="115" spans="1:17" ht="14.25">
      <c r="A115" s="17" t="s">
        <v>205</v>
      </c>
      <c r="B115" s="18">
        <v>45949</v>
      </c>
      <c r="C115" s="17" t="s">
        <v>68</v>
      </c>
      <c r="D115" s="17" t="s">
        <v>18</v>
      </c>
      <c r="E115" s="17" t="s">
        <v>39</v>
      </c>
      <c r="F115" s="17" t="s">
        <v>40</v>
      </c>
      <c r="G115" s="17" t="s">
        <v>177</v>
      </c>
      <c r="H115" s="17">
        <v>6</v>
      </c>
      <c r="I115" s="19">
        <v>63830</v>
      </c>
      <c r="J115" s="17" t="s">
        <v>69</v>
      </c>
      <c r="K115" s="17" t="s">
        <v>70</v>
      </c>
      <c r="L115" s="17" t="s">
        <v>35</v>
      </c>
      <c r="M115" s="17" t="s">
        <v>25</v>
      </c>
      <c r="N115" s="17" t="s">
        <v>26</v>
      </c>
      <c r="O115" s="17">
        <v>14</v>
      </c>
      <c r="P115" s="17" t="s">
        <v>26</v>
      </c>
      <c r="Q115" s="16"/>
    </row>
    <row r="116" spans="1:17" ht="14.25">
      <c r="A116" s="17" t="s">
        <v>206</v>
      </c>
      <c r="B116" s="18">
        <v>45911</v>
      </c>
      <c r="C116" s="17" t="s">
        <v>55</v>
      </c>
      <c r="D116" s="17" t="s">
        <v>30</v>
      </c>
      <c r="E116" s="17" t="s">
        <v>64</v>
      </c>
      <c r="F116" s="17" t="s">
        <v>72</v>
      </c>
      <c r="G116" s="17" t="s">
        <v>44</v>
      </c>
      <c r="H116" s="17">
        <v>11</v>
      </c>
      <c r="I116" s="19">
        <v>28270</v>
      </c>
      <c r="J116" s="17" t="s">
        <v>66</v>
      </c>
      <c r="K116" s="17" t="s">
        <v>57</v>
      </c>
      <c r="L116" s="17" t="s">
        <v>58</v>
      </c>
      <c r="M116" s="17" t="s">
        <v>36</v>
      </c>
      <c r="N116" s="17" t="s">
        <v>26</v>
      </c>
      <c r="O116" s="17">
        <v>7</v>
      </c>
      <c r="P116" s="17" t="s">
        <v>27</v>
      </c>
      <c r="Q116" s="16"/>
    </row>
    <row r="117" spans="1:17" ht="14.25">
      <c r="A117" s="17" t="s">
        <v>207</v>
      </c>
      <c r="B117" s="18">
        <v>45926</v>
      </c>
      <c r="C117" s="17" t="s">
        <v>203</v>
      </c>
      <c r="D117" s="17" t="s">
        <v>30</v>
      </c>
      <c r="E117" s="17" t="s">
        <v>39</v>
      </c>
      <c r="F117" s="17" t="s">
        <v>40</v>
      </c>
      <c r="G117" s="17" t="s">
        <v>204</v>
      </c>
      <c r="H117" s="17">
        <v>11</v>
      </c>
      <c r="I117" s="19">
        <v>76380</v>
      </c>
      <c r="J117" s="17" t="s">
        <v>55</v>
      </c>
      <c r="K117" s="17" t="s">
        <v>62</v>
      </c>
      <c r="L117" s="17" t="s">
        <v>35</v>
      </c>
      <c r="M117" s="17" t="s">
        <v>36</v>
      </c>
      <c r="N117" s="17" t="s">
        <v>26</v>
      </c>
      <c r="O117" s="17">
        <v>7</v>
      </c>
      <c r="P117" s="17" t="s">
        <v>37</v>
      </c>
      <c r="Q117" s="16"/>
    </row>
    <row r="118" spans="1:17" ht="14.25">
      <c r="A118" s="17" t="s">
        <v>208</v>
      </c>
      <c r="B118" s="18">
        <v>45732</v>
      </c>
      <c r="C118" s="17" t="s">
        <v>68</v>
      </c>
      <c r="D118" s="17" t="s">
        <v>18</v>
      </c>
      <c r="E118" s="17" t="s">
        <v>31</v>
      </c>
      <c r="F118" s="17" t="s">
        <v>176</v>
      </c>
      <c r="G118" s="17" t="s">
        <v>21</v>
      </c>
      <c r="H118" s="17">
        <v>15</v>
      </c>
      <c r="I118" s="19">
        <v>89110</v>
      </c>
      <c r="J118" s="17" t="s">
        <v>69</v>
      </c>
      <c r="K118" s="17" t="s">
        <v>70</v>
      </c>
      <c r="L118" s="17" t="s">
        <v>58</v>
      </c>
      <c r="M118" s="17" t="s">
        <v>25</v>
      </c>
      <c r="N118" s="17" t="s">
        <v>26</v>
      </c>
      <c r="O118" s="17">
        <v>14</v>
      </c>
      <c r="P118" s="17" t="s">
        <v>27</v>
      </c>
      <c r="Q118" s="16"/>
    </row>
    <row r="119" spans="1:17" ht="14.25">
      <c r="A119" s="17" t="s">
        <v>209</v>
      </c>
      <c r="B119" s="18">
        <v>45745</v>
      </c>
      <c r="C119" s="17" t="s">
        <v>185</v>
      </c>
      <c r="D119" s="17" t="s">
        <v>18</v>
      </c>
      <c r="E119" s="17" t="s">
        <v>39</v>
      </c>
      <c r="F119" s="17" t="s">
        <v>40</v>
      </c>
      <c r="G119" s="17" t="s">
        <v>210</v>
      </c>
      <c r="H119" s="17">
        <v>11</v>
      </c>
      <c r="I119" s="19">
        <v>89910</v>
      </c>
      <c r="J119" s="17" t="s">
        <v>211</v>
      </c>
      <c r="K119" s="17" t="s">
        <v>187</v>
      </c>
      <c r="L119" s="17" t="s">
        <v>35</v>
      </c>
      <c r="M119" s="17" t="s">
        <v>25</v>
      </c>
      <c r="N119" s="17" t="s">
        <v>37</v>
      </c>
      <c r="O119" s="17">
        <v>14</v>
      </c>
      <c r="P119" s="17" t="s">
        <v>26</v>
      </c>
      <c r="Q119" s="16"/>
    </row>
    <row r="120" spans="1:17" ht="14.25">
      <c r="A120" s="17" t="s">
        <v>212</v>
      </c>
      <c r="B120" s="18">
        <v>45865</v>
      </c>
      <c r="C120" s="17" t="s">
        <v>185</v>
      </c>
      <c r="D120" s="17" t="s">
        <v>30</v>
      </c>
      <c r="E120" s="17" t="s">
        <v>39</v>
      </c>
      <c r="F120" s="17" t="s">
        <v>32</v>
      </c>
      <c r="G120" s="17" t="s">
        <v>21</v>
      </c>
      <c r="H120" s="17">
        <v>3</v>
      </c>
      <c r="I120" s="19">
        <v>114640</v>
      </c>
      <c r="J120" s="17" t="s">
        <v>213</v>
      </c>
      <c r="K120" s="17" t="s">
        <v>187</v>
      </c>
      <c r="L120" s="17" t="s">
        <v>35</v>
      </c>
      <c r="M120" s="17" t="s">
        <v>36</v>
      </c>
      <c r="N120" s="17" t="s">
        <v>37</v>
      </c>
      <c r="O120" s="17">
        <v>7</v>
      </c>
      <c r="P120" s="17" t="s">
        <v>26</v>
      </c>
      <c r="Q120" s="16"/>
    </row>
    <row r="121" spans="1:17" ht="14.25">
      <c r="A121" s="17" t="s">
        <v>214</v>
      </c>
      <c r="B121" s="18">
        <v>45880</v>
      </c>
      <c r="C121" s="17" t="s">
        <v>55</v>
      </c>
      <c r="D121" s="17" t="s">
        <v>18</v>
      </c>
      <c r="E121" s="17" t="s">
        <v>64</v>
      </c>
      <c r="F121" s="17" t="s">
        <v>215</v>
      </c>
      <c r="G121" s="17" t="s">
        <v>21</v>
      </c>
      <c r="H121" s="17">
        <v>15</v>
      </c>
      <c r="I121" s="19">
        <v>23400</v>
      </c>
      <c r="J121" s="17" t="s">
        <v>66</v>
      </c>
      <c r="K121" s="17" t="s">
        <v>57</v>
      </c>
      <c r="L121" s="17" t="s">
        <v>58</v>
      </c>
      <c r="M121" s="17" t="s">
        <v>25</v>
      </c>
      <c r="N121" s="17" t="s">
        <v>26</v>
      </c>
      <c r="O121" s="17">
        <v>14</v>
      </c>
      <c r="P121" s="17" t="s">
        <v>27</v>
      </c>
      <c r="Q121" s="16"/>
    </row>
    <row r="122" spans="1:17" ht="14.25">
      <c r="A122" s="17" t="s">
        <v>216</v>
      </c>
      <c r="B122" s="18">
        <v>45706</v>
      </c>
      <c r="C122" s="17" t="s">
        <v>17</v>
      </c>
      <c r="D122" s="17" t="s">
        <v>18</v>
      </c>
      <c r="E122" s="17" t="s">
        <v>39</v>
      </c>
      <c r="F122" s="17" t="s">
        <v>176</v>
      </c>
      <c r="G122" s="17" t="s">
        <v>44</v>
      </c>
      <c r="H122" s="17">
        <v>3</v>
      </c>
      <c r="I122" s="19">
        <v>20980</v>
      </c>
      <c r="J122" s="17" t="s">
        <v>42</v>
      </c>
      <c r="K122" s="17" t="s">
        <v>23</v>
      </c>
      <c r="L122" s="17" t="s">
        <v>58</v>
      </c>
      <c r="M122" s="17" t="s">
        <v>25</v>
      </c>
      <c r="N122" s="17" t="s">
        <v>26</v>
      </c>
      <c r="O122" s="17">
        <v>14</v>
      </c>
      <c r="P122" s="17" t="s">
        <v>26</v>
      </c>
      <c r="Q122" s="16"/>
    </row>
    <row r="123" spans="1:17" ht="14.25">
      <c r="A123" s="17" t="s">
        <v>217</v>
      </c>
      <c r="B123" s="18">
        <v>46003</v>
      </c>
      <c r="C123" s="17" t="s">
        <v>17</v>
      </c>
      <c r="D123" s="17" t="s">
        <v>30</v>
      </c>
      <c r="E123" s="17" t="s">
        <v>31</v>
      </c>
      <c r="F123" s="17" t="s">
        <v>20</v>
      </c>
      <c r="G123" s="17" t="s">
        <v>177</v>
      </c>
      <c r="H123" s="17">
        <v>11</v>
      </c>
      <c r="I123" s="19">
        <v>62750</v>
      </c>
      <c r="J123" s="17" t="s">
        <v>86</v>
      </c>
      <c r="K123" s="17" t="s">
        <v>23</v>
      </c>
      <c r="L123" s="17" t="s">
        <v>35</v>
      </c>
      <c r="M123" s="17" t="s">
        <v>36</v>
      </c>
      <c r="N123" s="17" t="s">
        <v>37</v>
      </c>
      <c r="O123" s="17">
        <v>7</v>
      </c>
      <c r="P123" s="17" t="s">
        <v>27</v>
      </c>
      <c r="Q123" s="16"/>
    </row>
    <row r="124" spans="1:17" ht="14.25">
      <c r="A124" s="17" t="s">
        <v>218</v>
      </c>
      <c r="B124" s="18">
        <v>45900</v>
      </c>
      <c r="C124" s="17" t="s">
        <v>179</v>
      </c>
      <c r="D124" s="17" t="s">
        <v>18</v>
      </c>
      <c r="E124" s="17" t="s">
        <v>39</v>
      </c>
      <c r="F124" s="17" t="s">
        <v>215</v>
      </c>
      <c r="G124" s="17" t="s">
        <v>44</v>
      </c>
      <c r="H124" s="17">
        <v>13</v>
      </c>
      <c r="I124" s="19">
        <v>15720</v>
      </c>
      <c r="J124" s="17" t="s">
        <v>219</v>
      </c>
      <c r="K124" s="17" t="s">
        <v>181</v>
      </c>
      <c r="L124" s="17" t="s">
        <v>220</v>
      </c>
      <c r="M124" s="17" t="s">
        <v>25</v>
      </c>
      <c r="N124" s="17" t="s">
        <v>26</v>
      </c>
      <c r="O124" s="17">
        <v>14</v>
      </c>
      <c r="P124" s="17" t="s">
        <v>26</v>
      </c>
      <c r="Q124" s="16"/>
    </row>
    <row r="125" spans="1:17" ht="14.25">
      <c r="A125" s="17" t="s">
        <v>221</v>
      </c>
      <c r="B125" s="18">
        <v>45877</v>
      </c>
      <c r="C125" s="17" t="s">
        <v>17</v>
      </c>
      <c r="D125" s="17" t="s">
        <v>18</v>
      </c>
      <c r="E125" s="17" t="s">
        <v>31</v>
      </c>
      <c r="F125" s="17" t="s">
        <v>191</v>
      </c>
      <c r="G125" s="17" t="s">
        <v>41</v>
      </c>
      <c r="H125" s="17">
        <v>24</v>
      </c>
      <c r="I125" s="19">
        <v>43490</v>
      </c>
      <c r="J125" s="17" t="s">
        <v>86</v>
      </c>
      <c r="K125" s="17" t="s">
        <v>23</v>
      </c>
      <c r="L125" s="17" t="s">
        <v>192</v>
      </c>
      <c r="M125" s="17" t="s">
        <v>25</v>
      </c>
      <c r="N125" s="17" t="s">
        <v>26</v>
      </c>
      <c r="O125" s="17">
        <v>14</v>
      </c>
      <c r="P125" s="17" t="s">
        <v>27</v>
      </c>
      <c r="Q125" s="16"/>
    </row>
    <row r="126" spans="1:17" ht="14.25">
      <c r="A126" s="17" t="s">
        <v>222</v>
      </c>
      <c r="B126" s="18">
        <v>45678</v>
      </c>
      <c r="C126" s="17" t="s">
        <v>68</v>
      </c>
      <c r="D126" s="17" t="s">
        <v>18</v>
      </c>
      <c r="E126" s="17" t="s">
        <v>19</v>
      </c>
      <c r="F126" s="17" t="s">
        <v>183</v>
      </c>
      <c r="G126" s="17" t="s">
        <v>21</v>
      </c>
      <c r="H126" s="17">
        <v>25</v>
      </c>
      <c r="I126" s="19">
        <v>49740</v>
      </c>
      <c r="J126" s="17" t="s">
        <v>79</v>
      </c>
      <c r="K126" s="17" t="s">
        <v>70</v>
      </c>
      <c r="L126" s="17" t="s">
        <v>58</v>
      </c>
      <c r="M126" s="17" t="s">
        <v>25</v>
      </c>
      <c r="N126" s="17" t="s">
        <v>26</v>
      </c>
      <c r="O126" s="17">
        <v>14</v>
      </c>
      <c r="P126" s="17" t="s">
        <v>27</v>
      </c>
      <c r="Q126" s="16"/>
    </row>
    <row r="127" spans="1:17" ht="14.25">
      <c r="A127" s="17" t="s">
        <v>223</v>
      </c>
      <c r="B127" s="18">
        <v>45663</v>
      </c>
      <c r="C127" s="17" t="s">
        <v>224</v>
      </c>
      <c r="D127" s="17" t="s">
        <v>30</v>
      </c>
      <c r="E127" s="17" t="s">
        <v>39</v>
      </c>
      <c r="F127" s="17" t="s">
        <v>20</v>
      </c>
      <c r="G127" s="17" t="s">
        <v>210</v>
      </c>
      <c r="H127" s="17">
        <v>10</v>
      </c>
      <c r="I127" s="19">
        <v>104950</v>
      </c>
      <c r="J127" s="17" t="s">
        <v>225</v>
      </c>
      <c r="K127" s="17" t="s">
        <v>226</v>
      </c>
      <c r="L127" s="17" t="s">
        <v>24</v>
      </c>
      <c r="M127" s="17" t="s">
        <v>36</v>
      </c>
      <c r="N127" s="17" t="s">
        <v>37</v>
      </c>
      <c r="O127" s="17">
        <v>7</v>
      </c>
      <c r="P127" s="17" t="s">
        <v>37</v>
      </c>
      <c r="Q127" s="16"/>
    </row>
    <row r="128" spans="1:17" ht="14.25">
      <c r="A128" s="17" t="s">
        <v>227</v>
      </c>
      <c r="B128" s="18">
        <v>46019</v>
      </c>
      <c r="C128" s="17" t="s">
        <v>17</v>
      </c>
      <c r="D128" s="17" t="s">
        <v>89</v>
      </c>
      <c r="E128" s="17" t="s">
        <v>39</v>
      </c>
      <c r="F128" s="17" t="s">
        <v>191</v>
      </c>
      <c r="G128" s="17" t="s">
        <v>44</v>
      </c>
      <c r="H128" s="17">
        <v>3</v>
      </c>
      <c r="I128" s="19">
        <v>97010</v>
      </c>
      <c r="J128" s="17" t="s">
        <v>22</v>
      </c>
      <c r="K128" s="17" t="s">
        <v>23</v>
      </c>
      <c r="L128" s="17" t="s">
        <v>58</v>
      </c>
      <c r="M128" s="17" t="s">
        <v>90</v>
      </c>
      <c r="N128" s="17" t="s">
        <v>37</v>
      </c>
      <c r="O128" s="17">
        <v>3</v>
      </c>
      <c r="P128" s="17" t="s">
        <v>26</v>
      </c>
      <c r="Q128" s="16"/>
    </row>
    <row r="129" spans="1:17" ht="14.25">
      <c r="A129" s="17" t="s">
        <v>228</v>
      </c>
      <c r="B129" s="18">
        <v>45888</v>
      </c>
      <c r="C129" s="17" t="s">
        <v>55</v>
      </c>
      <c r="D129" s="17" t="s">
        <v>18</v>
      </c>
      <c r="E129" s="17" t="s">
        <v>39</v>
      </c>
      <c r="F129" s="17" t="s">
        <v>20</v>
      </c>
      <c r="G129" s="17" t="s">
        <v>44</v>
      </c>
      <c r="H129" s="17">
        <v>9</v>
      </c>
      <c r="I129" s="19">
        <v>28390</v>
      </c>
      <c r="J129" s="17" t="s">
        <v>109</v>
      </c>
      <c r="K129" s="17" t="s">
        <v>57</v>
      </c>
      <c r="L129" s="17" t="s">
        <v>53</v>
      </c>
      <c r="M129" s="17" t="s">
        <v>25</v>
      </c>
      <c r="N129" s="17" t="s">
        <v>26</v>
      </c>
      <c r="O129" s="17">
        <v>14</v>
      </c>
      <c r="P129" s="17" t="s">
        <v>26</v>
      </c>
      <c r="Q129" s="16"/>
    </row>
    <row r="130" spans="1:17" ht="14.25">
      <c r="A130" s="17" t="s">
        <v>229</v>
      </c>
      <c r="B130" s="18">
        <v>45671</v>
      </c>
      <c r="C130" s="17" t="s">
        <v>185</v>
      </c>
      <c r="D130" s="17" t="s">
        <v>30</v>
      </c>
      <c r="E130" s="17" t="s">
        <v>39</v>
      </c>
      <c r="F130" s="17" t="s">
        <v>176</v>
      </c>
      <c r="G130" s="17" t="s">
        <v>210</v>
      </c>
      <c r="H130" s="17">
        <v>7</v>
      </c>
      <c r="I130" s="19">
        <v>125330</v>
      </c>
      <c r="J130" s="17" t="s">
        <v>211</v>
      </c>
      <c r="K130" s="17" t="s">
        <v>187</v>
      </c>
      <c r="L130" s="17" t="s">
        <v>58</v>
      </c>
      <c r="M130" s="17" t="s">
        <v>36</v>
      </c>
      <c r="N130" s="17" t="s">
        <v>37</v>
      </c>
      <c r="O130" s="17">
        <v>7</v>
      </c>
      <c r="P130" s="17" t="s">
        <v>26</v>
      </c>
      <c r="Q130" s="16"/>
    </row>
    <row r="131" spans="1:17" ht="14.25">
      <c r="A131" s="17" t="s">
        <v>230</v>
      </c>
      <c r="B131" s="18">
        <v>46000</v>
      </c>
      <c r="C131" s="17" t="s">
        <v>203</v>
      </c>
      <c r="D131" s="17" t="s">
        <v>18</v>
      </c>
      <c r="E131" s="17" t="s">
        <v>31</v>
      </c>
      <c r="F131" s="17" t="s">
        <v>72</v>
      </c>
      <c r="G131" s="17" t="s">
        <v>177</v>
      </c>
      <c r="H131" s="17">
        <v>23</v>
      </c>
      <c r="I131" s="19">
        <v>45900</v>
      </c>
      <c r="J131" s="17" t="s">
        <v>231</v>
      </c>
      <c r="K131" s="17" t="s">
        <v>62</v>
      </c>
      <c r="L131" s="17" t="s">
        <v>24</v>
      </c>
      <c r="M131" s="17" t="s">
        <v>25</v>
      </c>
      <c r="N131" s="17" t="s">
        <v>26</v>
      </c>
      <c r="O131" s="17">
        <v>14</v>
      </c>
      <c r="P131" s="17" t="s">
        <v>27</v>
      </c>
      <c r="Q131" s="16"/>
    </row>
    <row r="132" spans="1:17" ht="14.25">
      <c r="A132" s="17" t="s">
        <v>232</v>
      </c>
      <c r="B132" s="18">
        <v>45817</v>
      </c>
      <c r="C132" s="17" t="s">
        <v>224</v>
      </c>
      <c r="D132" s="17" t="s">
        <v>89</v>
      </c>
      <c r="E132" s="17" t="s">
        <v>39</v>
      </c>
      <c r="F132" s="17" t="s">
        <v>40</v>
      </c>
      <c r="G132" s="17" t="s">
        <v>83</v>
      </c>
      <c r="H132" s="17">
        <v>4</v>
      </c>
      <c r="I132" s="19">
        <v>245560</v>
      </c>
      <c r="J132" s="17" t="s">
        <v>225</v>
      </c>
      <c r="K132" s="17" t="s">
        <v>226</v>
      </c>
      <c r="L132" s="17" t="s">
        <v>58</v>
      </c>
      <c r="M132" s="17" t="s">
        <v>90</v>
      </c>
      <c r="N132" s="17" t="s">
        <v>37</v>
      </c>
      <c r="O132" s="17">
        <v>3</v>
      </c>
      <c r="P132" s="17" t="s">
        <v>37</v>
      </c>
      <c r="Q132" s="16"/>
    </row>
    <row r="133" spans="1:17" ht="14.25">
      <c r="A133" s="17" t="s">
        <v>233</v>
      </c>
      <c r="B133" s="18">
        <v>45773</v>
      </c>
      <c r="C133" s="17" t="s">
        <v>29</v>
      </c>
      <c r="D133" s="17" t="s">
        <v>30</v>
      </c>
      <c r="E133" s="17" t="s">
        <v>39</v>
      </c>
      <c r="F133" s="17" t="s">
        <v>20</v>
      </c>
      <c r="G133" s="17" t="s">
        <v>41</v>
      </c>
      <c r="H133" s="17">
        <v>5</v>
      </c>
      <c r="I133" s="19">
        <v>30080</v>
      </c>
      <c r="J133" s="17" t="s">
        <v>234</v>
      </c>
      <c r="K133" s="17" t="s">
        <v>34</v>
      </c>
      <c r="L133" s="17" t="s">
        <v>35</v>
      </c>
      <c r="M133" s="17" t="s">
        <v>36</v>
      </c>
      <c r="N133" s="17" t="s">
        <v>26</v>
      </c>
      <c r="O133" s="17">
        <v>7</v>
      </c>
      <c r="P133" s="17" t="s">
        <v>26</v>
      </c>
      <c r="Q133" s="16"/>
    </row>
    <row r="134" spans="1:17" ht="14.25">
      <c r="A134" s="17" t="s">
        <v>235</v>
      </c>
      <c r="B134" s="18">
        <v>45847</v>
      </c>
      <c r="C134" s="17" t="s">
        <v>55</v>
      </c>
      <c r="D134" s="17" t="s">
        <v>51</v>
      </c>
      <c r="E134" s="17" t="s">
        <v>31</v>
      </c>
      <c r="F134" s="17" t="s">
        <v>40</v>
      </c>
      <c r="G134" s="17" t="s">
        <v>44</v>
      </c>
      <c r="H134" s="17">
        <v>28</v>
      </c>
      <c r="I134" s="19">
        <v>7810</v>
      </c>
      <c r="J134" s="17" t="s">
        <v>66</v>
      </c>
      <c r="K134" s="17" t="s">
        <v>57</v>
      </c>
      <c r="L134" s="17" t="s">
        <v>121</v>
      </c>
      <c r="M134" s="17" t="s">
        <v>53</v>
      </c>
      <c r="N134" s="17" t="s">
        <v>26</v>
      </c>
      <c r="O134" s="17">
        <v>30</v>
      </c>
      <c r="P134" s="17" t="s">
        <v>27</v>
      </c>
      <c r="Q134" s="16"/>
    </row>
    <row r="135" spans="1:17" ht="14.25">
      <c r="A135" s="17" t="s">
        <v>236</v>
      </c>
      <c r="B135" s="18">
        <v>45826</v>
      </c>
      <c r="C135" s="17" t="s">
        <v>194</v>
      </c>
      <c r="D135" s="17" t="s">
        <v>30</v>
      </c>
      <c r="E135" s="17" t="s">
        <v>64</v>
      </c>
      <c r="F135" s="17" t="s">
        <v>32</v>
      </c>
      <c r="G135" s="17" t="s">
        <v>21</v>
      </c>
      <c r="H135" s="17">
        <v>6</v>
      </c>
      <c r="I135" s="19">
        <v>75750</v>
      </c>
      <c r="J135" s="17" t="s">
        <v>195</v>
      </c>
      <c r="K135" s="17" t="s">
        <v>196</v>
      </c>
      <c r="L135" s="17" t="s">
        <v>49</v>
      </c>
      <c r="M135" s="17" t="s">
        <v>36</v>
      </c>
      <c r="N135" s="17" t="s">
        <v>26</v>
      </c>
      <c r="O135" s="17">
        <v>7</v>
      </c>
      <c r="P135" s="17" t="s">
        <v>27</v>
      </c>
      <c r="Q135" s="16"/>
    </row>
    <row r="136" spans="1:17" ht="14.25">
      <c r="A136" s="17" t="s">
        <v>237</v>
      </c>
      <c r="B136" s="18">
        <v>45833</v>
      </c>
      <c r="C136" s="17" t="s">
        <v>17</v>
      </c>
      <c r="D136" s="17" t="s">
        <v>18</v>
      </c>
      <c r="E136" s="17" t="s">
        <v>39</v>
      </c>
      <c r="F136" s="17" t="s">
        <v>74</v>
      </c>
      <c r="G136" s="17" t="s">
        <v>41</v>
      </c>
      <c r="H136" s="17">
        <v>14</v>
      </c>
      <c r="I136" s="19">
        <v>35650</v>
      </c>
      <c r="J136" s="17" t="s">
        <v>42</v>
      </c>
      <c r="K136" s="17" t="s">
        <v>23</v>
      </c>
      <c r="L136" s="17" t="s">
        <v>58</v>
      </c>
      <c r="M136" s="17" t="s">
        <v>25</v>
      </c>
      <c r="N136" s="17" t="s">
        <v>26</v>
      </c>
      <c r="O136" s="17">
        <v>14</v>
      </c>
      <c r="P136" s="17" t="s">
        <v>26</v>
      </c>
      <c r="Q136" s="16"/>
    </row>
    <row r="137" spans="1:17" ht="14.25">
      <c r="A137" s="17" t="s">
        <v>238</v>
      </c>
      <c r="B137" s="18">
        <v>45824</v>
      </c>
      <c r="C137" s="17" t="s">
        <v>224</v>
      </c>
      <c r="D137" s="17" t="s">
        <v>18</v>
      </c>
      <c r="E137" s="17" t="s">
        <v>39</v>
      </c>
      <c r="F137" s="17" t="s">
        <v>72</v>
      </c>
      <c r="G137" s="17" t="s">
        <v>83</v>
      </c>
      <c r="H137" s="17">
        <v>14</v>
      </c>
      <c r="I137" s="19">
        <v>40990</v>
      </c>
      <c r="J137" s="17" t="s">
        <v>239</v>
      </c>
      <c r="K137" s="17" t="s">
        <v>226</v>
      </c>
      <c r="L137" s="17" t="s">
        <v>24</v>
      </c>
      <c r="M137" s="17" t="s">
        <v>25</v>
      </c>
      <c r="N137" s="17" t="s">
        <v>37</v>
      </c>
      <c r="O137" s="17">
        <v>14</v>
      </c>
      <c r="P137" s="17" t="s">
        <v>26</v>
      </c>
      <c r="Q137" s="16"/>
    </row>
    <row r="138" spans="1:17" ht="14.25">
      <c r="A138" s="17" t="s">
        <v>240</v>
      </c>
      <c r="B138" s="18">
        <v>45947</v>
      </c>
      <c r="C138" s="17" t="s">
        <v>55</v>
      </c>
      <c r="D138" s="17" t="s">
        <v>18</v>
      </c>
      <c r="E138" s="17" t="s">
        <v>39</v>
      </c>
      <c r="F138" s="17" t="s">
        <v>183</v>
      </c>
      <c r="G138" s="17" t="s">
        <v>41</v>
      </c>
      <c r="H138" s="17">
        <v>19</v>
      </c>
      <c r="I138" s="19">
        <v>25990</v>
      </c>
      <c r="J138" s="17" t="s">
        <v>109</v>
      </c>
      <c r="K138" s="17" t="s">
        <v>57</v>
      </c>
      <c r="L138" s="17" t="s">
        <v>24</v>
      </c>
      <c r="M138" s="17" t="s">
        <v>25</v>
      </c>
      <c r="N138" s="17" t="s">
        <v>26</v>
      </c>
      <c r="O138" s="17">
        <v>14</v>
      </c>
      <c r="P138" s="17" t="s">
        <v>37</v>
      </c>
      <c r="Q138" s="16"/>
    </row>
    <row r="139" spans="1:17" ht="14.25">
      <c r="A139" s="17" t="s">
        <v>241</v>
      </c>
      <c r="B139" s="18">
        <v>45783</v>
      </c>
      <c r="C139" s="17" t="s">
        <v>203</v>
      </c>
      <c r="D139" s="17" t="s">
        <v>30</v>
      </c>
      <c r="E139" s="17" t="s">
        <v>39</v>
      </c>
      <c r="F139" s="17" t="s">
        <v>215</v>
      </c>
      <c r="G139" s="17" t="s">
        <v>177</v>
      </c>
      <c r="H139" s="17">
        <v>9</v>
      </c>
      <c r="I139" s="19">
        <v>108810</v>
      </c>
      <c r="J139" s="17" t="s">
        <v>55</v>
      </c>
      <c r="K139" s="17" t="s">
        <v>62</v>
      </c>
      <c r="L139" s="17" t="s">
        <v>24</v>
      </c>
      <c r="M139" s="17" t="s">
        <v>36</v>
      </c>
      <c r="N139" s="17" t="s">
        <v>26</v>
      </c>
      <c r="O139" s="17">
        <v>7</v>
      </c>
      <c r="P139" s="17" t="s">
        <v>37</v>
      </c>
      <c r="Q139" s="16"/>
    </row>
    <row r="140" spans="1:17" ht="14.25">
      <c r="A140" s="17" t="s">
        <v>242</v>
      </c>
      <c r="B140" s="18">
        <v>45864</v>
      </c>
      <c r="C140" s="17" t="s">
        <v>29</v>
      </c>
      <c r="D140" s="17" t="s">
        <v>18</v>
      </c>
      <c r="E140" s="17" t="s">
        <v>64</v>
      </c>
      <c r="F140" s="17" t="s">
        <v>20</v>
      </c>
      <c r="G140" s="17" t="s">
        <v>226</v>
      </c>
      <c r="H140" s="17">
        <v>21</v>
      </c>
      <c r="I140" s="19">
        <v>28230</v>
      </c>
      <c r="J140" s="17" t="s">
        <v>234</v>
      </c>
      <c r="K140" s="17" t="s">
        <v>34</v>
      </c>
      <c r="L140" s="17" t="s">
        <v>35</v>
      </c>
      <c r="M140" s="17" t="s">
        <v>25</v>
      </c>
      <c r="N140" s="17" t="s">
        <v>37</v>
      </c>
      <c r="O140" s="17">
        <v>14</v>
      </c>
      <c r="P140" s="17" t="s">
        <v>27</v>
      </c>
      <c r="Q140" s="16"/>
    </row>
    <row r="141" spans="1:17" ht="14.25">
      <c r="A141" s="17" t="s">
        <v>243</v>
      </c>
      <c r="B141" s="18">
        <v>45995</v>
      </c>
      <c r="C141" s="17" t="s">
        <v>29</v>
      </c>
      <c r="D141" s="17" t="s">
        <v>18</v>
      </c>
      <c r="E141" s="17" t="s">
        <v>39</v>
      </c>
      <c r="F141" s="17" t="s">
        <v>20</v>
      </c>
      <c r="G141" s="17" t="s">
        <v>83</v>
      </c>
      <c r="H141" s="17">
        <v>16</v>
      </c>
      <c r="I141" s="19">
        <v>29770</v>
      </c>
      <c r="J141" s="17" t="s">
        <v>33</v>
      </c>
      <c r="K141" s="17" t="s">
        <v>34</v>
      </c>
      <c r="L141" s="17" t="s">
        <v>24</v>
      </c>
      <c r="M141" s="17" t="s">
        <v>25</v>
      </c>
      <c r="N141" s="17" t="s">
        <v>26</v>
      </c>
      <c r="O141" s="17">
        <v>14</v>
      </c>
      <c r="P141" s="17" t="s">
        <v>37</v>
      </c>
      <c r="Q141" s="16"/>
    </row>
    <row r="142" spans="1:17" ht="14.25">
      <c r="A142" s="17" t="s">
        <v>244</v>
      </c>
      <c r="B142" s="18">
        <v>45698</v>
      </c>
      <c r="C142" s="17" t="s">
        <v>224</v>
      </c>
      <c r="D142" s="17" t="s">
        <v>51</v>
      </c>
      <c r="E142" s="17" t="s">
        <v>39</v>
      </c>
      <c r="F142" s="17" t="s">
        <v>215</v>
      </c>
      <c r="G142" s="17" t="s">
        <v>226</v>
      </c>
      <c r="H142" s="17">
        <v>20</v>
      </c>
      <c r="I142" s="19">
        <v>35420</v>
      </c>
      <c r="J142" s="17" t="s">
        <v>225</v>
      </c>
      <c r="K142" s="17" t="s">
        <v>226</v>
      </c>
      <c r="L142" s="17" t="s">
        <v>24</v>
      </c>
      <c r="M142" s="17" t="s">
        <v>53</v>
      </c>
      <c r="N142" s="17" t="s">
        <v>37</v>
      </c>
      <c r="O142" s="17">
        <v>30</v>
      </c>
      <c r="P142" s="17" t="s">
        <v>26</v>
      </c>
      <c r="Q142" s="16"/>
    </row>
    <row r="143" spans="1:17" ht="14.25">
      <c r="A143" s="17" t="s">
        <v>245</v>
      </c>
      <c r="B143" s="18">
        <v>45729</v>
      </c>
      <c r="C143" s="17" t="s">
        <v>60</v>
      </c>
      <c r="D143" s="17" t="s">
        <v>18</v>
      </c>
      <c r="E143" s="17" t="s">
        <v>39</v>
      </c>
      <c r="F143" s="17" t="s">
        <v>72</v>
      </c>
      <c r="G143" s="17" t="s">
        <v>44</v>
      </c>
      <c r="H143" s="17">
        <v>13</v>
      </c>
      <c r="I143" s="19">
        <v>52340</v>
      </c>
      <c r="J143" s="17" t="s">
        <v>77</v>
      </c>
      <c r="K143" s="17" t="s">
        <v>62</v>
      </c>
      <c r="L143" s="17" t="s">
        <v>35</v>
      </c>
      <c r="M143" s="17" t="s">
        <v>25</v>
      </c>
      <c r="N143" s="17" t="s">
        <v>26</v>
      </c>
      <c r="O143" s="17">
        <v>14</v>
      </c>
      <c r="P143" s="17" t="s">
        <v>26</v>
      </c>
      <c r="Q143" s="16"/>
    </row>
    <row r="144" spans="1:17" ht="14.25">
      <c r="A144" s="17" t="s">
        <v>246</v>
      </c>
      <c r="B144" s="18">
        <v>45707</v>
      </c>
      <c r="C144" s="17" t="s">
        <v>55</v>
      </c>
      <c r="D144" s="17" t="s">
        <v>18</v>
      </c>
      <c r="E144" s="17" t="s">
        <v>39</v>
      </c>
      <c r="F144" s="17" t="s">
        <v>20</v>
      </c>
      <c r="G144" s="17" t="s">
        <v>21</v>
      </c>
      <c r="H144" s="17">
        <v>1</v>
      </c>
      <c r="I144" s="19">
        <v>19310</v>
      </c>
      <c r="J144" s="17" t="s">
        <v>109</v>
      </c>
      <c r="K144" s="17" t="s">
        <v>57</v>
      </c>
      <c r="L144" s="17" t="s">
        <v>24</v>
      </c>
      <c r="M144" s="17" t="s">
        <v>25</v>
      </c>
      <c r="N144" s="17" t="s">
        <v>26</v>
      </c>
      <c r="O144" s="17">
        <v>14</v>
      </c>
      <c r="P144" s="17" t="s">
        <v>26</v>
      </c>
      <c r="Q144" s="16"/>
    </row>
    <row r="145" spans="1:17" ht="14.25">
      <c r="A145" s="17" t="s">
        <v>247</v>
      </c>
      <c r="B145" s="18">
        <v>45814</v>
      </c>
      <c r="C145" s="17" t="s">
        <v>17</v>
      </c>
      <c r="D145" s="17" t="s">
        <v>18</v>
      </c>
      <c r="E145" s="17" t="s">
        <v>39</v>
      </c>
      <c r="F145" s="17" t="s">
        <v>74</v>
      </c>
      <c r="G145" s="17" t="s">
        <v>177</v>
      </c>
      <c r="H145" s="17">
        <v>6</v>
      </c>
      <c r="I145" s="19">
        <v>43540</v>
      </c>
      <c r="J145" s="17" t="s">
        <v>86</v>
      </c>
      <c r="K145" s="17" t="s">
        <v>23</v>
      </c>
      <c r="L145" s="17" t="s">
        <v>58</v>
      </c>
      <c r="M145" s="17" t="s">
        <v>25</v>
      </c>
      <c r="N145" s="17" t="s">
        <v>26</v>
      </c>
      <c r="O145" s="17">
        <v>14</v>
      </c>
      <c r="P145" s="17" t="s">
        <v>26</v>
      </c>
      <c r="Q145" s="16"/>
    </row>
    <row r="146" spans="1:17" ht="14.25">
      <c r="A146" s="17" t="s">
        <v>248</v>
      </c>
      <c r="B146" s="18">
        <v>45826</v>
      </c>
      <c r="C146" s="17" t="s">
        <v>29</v>
      </c>
      <c r="D146" s="17" t="s">
        <v>18</v>
      </c>
      <c r="E146" s="17" t="s">
        <v>31</v>
      </c>
      <c r="F146" s="17" t="s">
        <v>183</v>
      </c>
      <c r="G146" s="17" t="s">
        <v>41</v>
      </c>
      <c r="H146" s="17">
        <v>26</v>
      </c>
      <c r="I146" s="19">
        <v>28600</v>
      </c>
      <c r="J146" s="17" t="s">
        <v>33</v>
      </c>
      <c r="K146" s="17" t="s">
        <v>34</v>
      </c>
      <c r="L146" s="17" t="s">
        <v>58</v>
      </c>
      <c r="M146" s="17" t="s">
        <v>25</v>
      </c>
      <c r="N146" s="17" t="s">
        <v>26</v>
      </c>
      <c r="O146" s="17">
        <v>14</v>
      </c>
      <c r="P146" s="17" t="s">
        <v>27</v>
      </c>
      <c r="Q146" s="16"/>
    </row>
    <row r="147" spans="1:17" ht="14.25">
      <c r="A147" s="17" t="s">
        <v>249</v>
      </c>
      <c r="B147" s="18">
        <v>45887</v>
      </c>
      <c r="C147" s="17" t="s">
        <v>46</v>
      </c>
      <c r="D147" s="17" t="s">
        <v>89</v>
      </c>
      <c r="E147" s="17" t="s">
        <v>64</v>
      </c>
      <c r="F147" s="17" t="s">
        <v>72</v>
      </c>
      <c r="G147" s="17" t="s">
        <v>44</v>
      </c>
      <c r="H147" s="17">
        <v>4</v>
      </c>
      <c r="I147" s="19">
        <v>161640</v>
      </c>
      <c r="J147" s="17" t="s">
        <v>111</v>
      </c>
      <c r="K147" s="17" t="s">
        <v>48</v>
      </c>
      <c r="L147" s="17" t="s">
        <v>58</v>
      </c>
      <c r="M147" s="17" t="s">
        <v>90</v>
      </c>
      <c r="N147" s="17" t="s">
        <v>37</v>
      </c>
      <c r="O147" s="17">
        <v>3</v>
      </c>
      <c r="P147" s="17" t="s">
        <v>27</v>
      </c>
      <c r="Q147" s="16"/>
    </row>
    <row r="148" spans="1:17" ht="14.25">
      <c r="A148" s="17" t="s">
        <v>250</v>
      </c>
      <c r="B148" s="18">
        <v>45813</v>
      </c>
      <c r="C148" s="17" t="s">
        <v>17</v>
      </c>
      <c r="D148" s="17" t="s">
        <v>89</v>
      </c>
      <c r="E148" s="17" t="s">
        <v>39</v>
      </c>
      <c r="F148" s="17" t="s">
        <v>176</v>
      </c>
      <c r="G148" s="17" t="s">
        <v>41</v>
      </c>
      <c r="H148" s="17">
        <v>4</v>
      </c>
      <c r="I148" s="19">
        <v>60730</v>
      </c>
      <c r="J148" s="17" t="s">
        <v>22</v>
      </c>
      <c r="K148" s="17" t="s">
        <v>23</v>
      </c>
      <c r="L148" s="17" t="s">
        <v>35</v>
      </c>
      <c r="M148" s="17" t="s">
        <v>90</v>
      </c>
      <c r="N148" s="17" t="s">
        <v>37</v>
      </c>
      <c r="O148" s="17">
        <v>3</v>
      </c>
      <c r="P148" s="17" t="s">
        <v>37</v>
      </c>
      <c r="Q148" s="16"/>
    </row>
    <row r="149" spans="1:17" ht="14.25">
      <c r="A149" s="17" t="s">
        <v>251</v>
      </c>
      <c r="B149" s="18">
        <v>45877</v>
      </c>
      <c r="C149" s="17" t="s">
        <v>224</v>
      </c>
      <c r="D149" s="17" t="s">
        <v>30</v>
      </c>
      <c r="E149" s="17" t="s">
        <v>39</v>
      </c>
      <c r="F149" s="17" t="s">
        <v>191</v>
      </c>
      <c r="G149" s="17" t="s">
        <v>210</v>
      </c>
      <c r="H149" s="17">
        <v>10</v>
      </c>
      <c r="I149" s="19">
        <v>119310</v>
      </c>
      <c r="J149" s="17" t="s">
        <v>225</v>
      </c>
      <c r="K149" s="17" t="s">
        <v>226</v>
      </c>
      <c r="L149" s="17" t="s">
        <v>35</v>
      </c>
      <c r="M149" s="17" t="s">
        <v>36</v>
      </c>
      <c r="N149" s="17" t="s">
        <v>37</v>
      </c>
      <c r="O149" s="17">
        <v>7</v>
      </c>
      <c r="P149" s="17" t="s">
        <v>37</v>
      </c>
      <c r="Q149" s="16"/>
    </row>
    <row r="150" spans="1:17" ht="14.25">
      <c r="A150" s="17" t="s">
        <v>252</v>
      </c>
      <c r="B150" s="18">
        <v>45808</v>
      </c>
      <c r="C150" s="17" t="s">
        <v>224</v>
      </c>
      <c r="D150" s="17" t="s">
        <v>30</v>
      </c>
      <c r="E150" s="17" t="s">
        <v>39</v>
      </c>
      <c r="F150" s="17" t="s">
        <v>176</v>
      </c>
      <c r="G150" s="17" t="s">
        <v>83</v>
      </c>
      <c r="H150" s="17">
        <v>10</v>
      </c>
      <c r="I150" s="19">
        <v>97450</v>
      </c>
      <c r="J150" s="17" t="s">
        <v>225</v>
      </c>
      <c r="K150" s="17" t="s">
        <v>226</v>
      </c>
      <c r="L150" s="17" t="s">
        <v>58</v>
      </c>
      <c r="M150" s="17" t="s">
        <v>36</v>
      </c>
      <c r="N150" s="17" t="s">
        <v>37</v>
      </c>
      <c r="O150" s="17">
        <v>7</v>
      </c>
      <c r="P150" s="17" t="s">
        <v>37</v>
      </c>
      <c r="Q150" s="16"/>
    </row>
    <row r="151" spans="1:17" ht="14.25">
      <c r="A151" s="17" t="s">
        <v>253</v>
      </c>
      <c r="B151" s="18">
        <v>45962</v>
      </c>
      <c r="C151" s="17" t="s">
        <v>203</v>
      </c>
      <c r="D151" s="17" t="s">
        <v>51</v>
      </c>
      <c r="E151" s="17" t="s">
        <v>39</v>
      </c>
      <c r="F151" s="17" t="s">
        <v>183</v>
      </c>
      <c r="G151" s="17" t="s">
        <v>177</v>
      </c>
      <c r="H151" s="17">
        <v>17</v>
      </c>
      <c r="I151" s="19">
        <v>33510</v>
      </c>
      <c r="J151" s="17" t="s">
        <v>231</v>
      </c>
      <c r="K151" s="17" t="s">
        <v>62</v>
      </c>
      <c r="L151" s="17" t="s">
        <v>53</v>
      </c>
      <c r="M151" s="17" t="s">
        <v>53</v>
      </c>
      <c r="N151" s="17" t="s">
        <v>26</v>
      </c>
      <c r="O151" s="17">
        <v>30</v>
      </c>
      <c r="P151" s="17" t="s">
        <v>26</v>
      </c>
      <c r="Q151" s="16"/>
    </row>
    <row r="152" spans="1:17" ht="14.25">
      <c r="A152" s="17" t="s">
        <v>254</v>
      </c>
      <c r="B152" s="18">
        <v>45826</v>
      </c>
      <c r="C152" s="17" t="s">
        <v>194</v>
      </c>
      <c r="D152" s="17" t="s">
        <v>30</v>
      </c>
      <c r="E152" s="17" t="s">
        <v>39</v>
      </c>
      <c r="F152" s="17" t="s">
        <v>183</v>
      </c>
      <c r="G152" s="17" t="s">
        <v>210</v>
      </c>
      <c r="H152" s="17">
        <v>11</v>
      </c>
      <c r="I152" s="19">
        <v>115560</v>
      </c>
      <c r="J152" s="17" t="s">
        <v>195</v>
      </c>
      <c r="K152" s="17" t="s">
        <v>196</v>
      </c>
      <c r="L152" s="17" t="s">
        <v>53</v>
      </c>
      <c r="M152" s="17" t="s">
        <v>36</v>
      </c>
      <c r="N152" s="17" t="s">
        <v>26</v>
      </c>
      <c r="O152" s="17">
        <v>7</v>
      </c>
      <c r="P152" s="17" t="s">
        <v>37</v>
      </c>
      <c r="Q152" s="16"/>
    </row>
    <row r="153" spans="1:17" ht="14.25">
      <c r="A153" s="17" t="s">
        <v>255</v>
      </c>
      <c r="B153" s="18">
        <v>45711</v>
      </c>
      <c r="C153" s="17" t="s">
        <v>224</v>
      </c>
      <c r="D153" s="17" t="s">
        <v>89</v>
      </c>
      <c r="E153" s="17" t="s">
        <v>39</v>
      </c>
      <c r="F153" s="17" t="s">
        <v>191</v>
      </c>
      <c r="G153" s="17" t="s">
        <v>83</v>
      </c>
      <c r="H153" s="17">
        <v>5</v>
      </c>
      <c r="I153" s="19">
        <v>209090</v>
      </c>
      <c r="J153" s="17" t="s">
        <v>239</v>
      </c>
      <c r="K153" s="17" t="s">
        <v>226</v>
      </c>
      <c r="L153" s="17" t="s">
        <v>192</v>
      </c>
      <c r="M153" s="17" t="s">
        <v>90</v>
      </c>
      <c r="N153" s="17" t="s">
        <v>37</v>
      </c>
      <c r="O153" s="17">
        <v>3</v>
      </c>
      <c r="P153" s="17" t="s">
        <v>37</v>
      </c>
      <c r="Q153" s="16"/>
    </row>
    <row r="154" spans="1:17" ht="14.25">
      <c r="A154" s="17" t="s">
        <v>256</v>
      </c>
      <c r="B154" s="18">
        <v>45742</v>
      </c>
      <c r="C154" s="17" t="s">
        <v>224</v>
      </c>
      <c r="D154" s="17" t="s">
        <v>51</v>
      </c>
      <c r="E154" s="17" t="s">
        <v>19</v>
      </c>
      <c r="F154" s="17" t="s">
        <v>74</v>
      </c>
      <c r="G154" s="17" t="s">
        <v>210</v>
      </c>
      <c r="H154" s="17">
        <v>42</v>
      </c>
      <c r="I154" s="19">
        <v>23040</v>
      </c>
      <c r="J154" s="17" t="s">
        <v>225</v>
      </c>
      <c r="K154" s="17" t="s">
        <v>226</v>
      </c>
      <c r="L154" s="17" t="s">
        <v>24</v>
      </c>
      <c r="M154" s="17" t="s">
        <v>53</v>
      </c>
      <c r="N154" s="17" t="s">
        <v>37</v>
      </c>
      <c r="O154" s="17">
        <v>30</v>
      </c>
      <c r="P154" s="17" t="s">
        <v>27</v>
      </c>
      <c r="Q154" s="16"/>
    </row>
    <row r="155" spans="1:17" ht="14.25">
      <c r="A155" s="17" t="s">
        <v>257</v>
      </c>
      <c r="B155" s="18">
        <v>45969</v>
      </c>
      <c r="C155" s="17" t="s">
        <v>203</v>
      </c>
      <c r="D155" s="17" t="s">
        <v>18</v>
      </c>
      <c r="E155" s="17" t="s">
        <v>39</v>
      </c>
      <c r="F155" s="17" t="s">
        <v>176</v>
      </c>
      <c r="G155" s="17" t="s">
        <v>177</v>
      </c>
      <c r="H155" s="17">
        <v>3</v>
      </c>
      <c r="I155" s="19">
        <v>53260</v>
      </c>
      <c r="J155" s="17" t="s">
        <v>55</v>
      </c>
      <c r="K155" s="17" t="s">
        <v>62</v>
      </c>
      <c r="L155" s="17" t="s">
        <v>192</v>
      </c>
      <c r="M155" s="17" t="s">
        <v>25</v>
      </c>
      <c r="N155" s="17" t="s">
        <v>37</v>
      </c>
      <c r="O155" s="17">
        <v>14</v>
      </c>
      <c r="P155" s="17" t="s">
        <v>26</v>
      </c>
      <c r="Q155" s="16"/>
    </row>
    <row r="156" spans="1:17" ht="14.25">
      <c r="A156" s="17" t="s">
        <v>258</v>
      </c>
      <c r="B156" s="18">
        <v>45670</v>
      </c>
      <c r="C156" s="17" t="s">
        <v>60</v>
      </c>
      <c r="D156" s="17" t="s">
        <v>30</v>
      </c>
      <c r="E156" s="17" t="s">
        <v>39</v>
      </c>
      <c r="F156" s="17" t="s">
        <v>32</v>
      </c>
      <c r="G156" s="17" t="s">
        <v>44</v>
      </c>
      <c r="H156" s="17">
        <v>7</v>
      </c>
      <c r="I156" s="19">
        <v>103200</v>
      </c>
      <c r="J156" s="17" t="s">
        <v>61</v>
      </c>
      <c r="K156" s="17" t="s">
        <v>62</v>
      </c>
      <c r="L156" s="17" t="s">
        <v>49</v>
      </c>
      <c r="M156" s="17" t="s">
        <v>36</v>
      </c>
      <c r="N156" s="17" t="s">
        <v>26</v>
      </c>
      <c r="O156" s="17">
        <v>7</v>
      </c>
      <c r="P156" s="17" t="s">
        <v>26</v>
      </c>
      <c r="Q156" s="16"/>
    </row>
    <row r="157" spans="1:17" ht="14.25">
      <c r="A157" s="17" t="s">
        <v>259</v>
      </c>
      <c r="B157" s="18">
        <v>45787</v>
      </c>
      <c r="C157" s="17" t="s">
        <v>224</v>
      </c>
      <c r="D157" s="17" t="s">
        <v>18</v>
      </c>
      <c r="E157" s="17" t="s">
        <v>39</v>
      </c>
      <c r="F157" s="17" t="s">
        <v>72</v>
      </c>
      <c r="G157" s="17" t="s">
        <v>210</v>
      </c>
      <c r="H157" s="17">
        <v>10</v>
      </c>
      <c r="I157" s="19">
        <v>67050</v>
      </c>
      <c r="J157" s="17" t="s">
        <v>260</v>
      </c>
      <c r="K157" s="17" t="s">
        <v>226</v>
      </c>
      <c r="L157" s="17" t="s">
        <v>35</v>
      </c>
      <c r="M157" s="17" t="s">
        <v>25</v>
      </c>
      <c r="N157" s="17" t="s">
        <v>37</v>
      </c>
      <c r="O157" s="17">
        <v>14</v>
      </c>
      <c r="P157" s="17" t="s">
        <v>26</v>
      </c>
      <c r="Q157" s="16"/>
    </row>
    <row r="158" spans="1:17" ht="14.25">
      <c r="A158" s="17" t="s">
        <v>261</v>
      </c>
      <c r="B158" s="18">
        <v>45831</v>
      </c>
      <c r="C158" s="17" t="s">
        <v>55</v>
      </c>
      <c r="D158" s="17" t="s">
        <v>30</v>
      </c>
      <c r="E158" s="17" t="s">
        <v>39</v>
      </c>
      <c r="F158" s="17" t="s">
        <v>72</v>
      </c>
      <c r="G158" s="17" t="s">
        <v>21</v>
      </c>
      <c r="H158" s="17">
        <v>10</v>
      </c>
      <c r="I158" s="19">
        <v>51200</v>
      </c>
      <c r="J158" s="17" t="s">
        <v>66</v>
      </c>
      <c r="K158" s="17" t="s">
        <v>57</v>
      </c>
      <c r="L158" s="17" t="s">
        <v>58</v>
      </c>
      <c r="M158" s="17" t="s">
        <v>36</v>
      </c>
      <c r="N158" s="17" t="s">
        <v>26</v>
      </c>
      <c r="O158" s="17">
        <v>7</v>
      </c>
      <c r="P158" s="17" t="s">
        <v>37</v>
      </c>
      <c r="Q158" s="16"/>
    </row>
    <row r="159" spans="1:17" ht="14.25">
      <c r="A159" s="17" t="s">
        <v>262</v>
      </c>
      <c r="B159" s="18">
        <v>45702</v>
      </c>
      <c r="C159" s="17" t="s">
        <v>185</v>
      </c>
      <c r="D159" s="17" t="s">
        <v>51</v>
      </c>
      <c r="E159" s="17" t="s">
        <v>39</v>
      </c>
      <c r="F159" s="17" t="s">
        <v>20</v>
      </c>
      <c r="G159" s="17" t="s">
        <v>210</v>
      </c>
      <c r="H159" s="17">
        <v>25</v>
      </c>
      <c r="I159" s="19">
        <v>44810</v>
      </c>
      <c r="J159" s="17" t="s">
        <v>186</v>
      </c>
      <c r="K159" s="17" t="s">
        <v>187</v>
      </c>
      <c r="L159" s="17" t="s">
        <v>35</v>
      </c>
      <c r="M159" s="17" t="s">
        <v>53</v>
      </c>
      <c r="N159" s="17" t="s">
        <v>37</v>
      </c>
      <c r="O159" s="17">
        <v>30</v>
      </c>
      <c r="P159" s="17" t="s">
        <v>26</v>
      </c>
      <c r="Q159" s="16"/>
    </row>
    <row r="160" spans="1:17" ht="14.25">
      <c r="A160" s="17" t="s">
        <v>263</v>
      </c>
      <c r="B160" s="18">
        <v>45658</v>
      </c>
      <c r="C160" s="17" t="s">
        <v>29</v>
      </c>
      <c r="D160" s="17" t="s">
        <v>30</v>
      </c>
      <c r="E160" s="17" t="s">
        <v>39</v>
      </c>
      <c r="F160" s="17" t="s">
        <v>40</v>
      </c>
      <c r="G160" s="17" t="s">
        <v>41</v>
      </c>
      <c r="H160" s="17">
        <v>10</v>
      </c>
      <c r="I160" s="19">
        <v>72890</v>
      </c>
      <c r="J160" s="17" t="s">
        <v>99</v>
      </c>
      <c r="K160" s="17" t="s">
        <v>34</v>
      </c>
      <c r="L160" s="17" t="s">
        <v>35</v>
      </c>
      <c r="M160" s="17" t="s">
        <v>36</v>
      </c>
      <c r="N160" s="17" t="s">
        <v>26</v>
      </c>
      <c r="O160" s="17">
        <v>7</v>
      </c>
      <c r="P160" s="17" t="s">
        <v>37</v>
      </c>
      <c r="Q160" s="16"/>
    </row>
    <row r="161" spans="1:17" ht="14.25">
      <c r="A161" s="17" t="s">
        <v>264</v>
      </c>
      <c r="B161" s="18">
        <v>45762</v>
      </c>
      <c r="C161" s="17" t="s">
        <v>203</v>
      </c>
      <c r="D161" s="17" t="s">
        <v>18</v>
      </c>
      <c r="E161" s="17" t="s">
        <v>64</v>
      </c>
      <c r="F161" s="17" t="s">
        <v>74</v>
      </c>
      <c r="G161" s="17" t="s">
        <v>44</v>
      </c>
      <c r="H161" s="17">
        <v>17</v>
      </c>
      <c r="I161" s="19">
        <v>29580</v>
      </c>
      <c r="J161" s="17" t="s">
        <v>231</v>
      </c>
      <c r="K161" s="17" t="s">
        <v>62</v>
      </c>
      <c r="L161" s="17" t="s">
        <v>58</v>
      </c>
      <c r="M161" s="17" t="s">
        <v>25</v>
      </c>
      <c r="N161" s="17" t="s">
        <v>26</v>
      </c>
      <c r="O161" s="17">
        <v>14</v>
      </c>
      <c r="P161" s="17" t="s">
        <v>27</v>
      </c>
      <c r="Q161" s="16"/>
    </row>
    <row r="162" spans="1:17" ht="14.25">
      <c r="A162" s="17" t="s">
        <v>265</v>
      </c>
      <c r="B162" s="18">
        <v>45950</v>
      </c>
      <c r="C162" s="17" t="s">
        <v>68</v>
      </c>
      <c r="D162" s="17" t="s">
        <v>18</v>
      </c>
      <c r="E162" s="17" t="s">
        <v>39</v>
      </c>
      <c r="F162" s="17" t="s">
        <v>20</v>
      </c>
      <c r="G162" s="17" t="s">
        <v>177</v>
      </c>
      <c r="H162" s="17">
        <v>3</v>
      </c>
      <c r="I162" s="19">
        <v>65990</v>
      </c>
      <c r="J162" s="17" t="s">
        <v>93</v>
      </c>
      <c r="K162" s="17" t="s">
        <v>70</v>
      </c>
      <c r="L162" s="17" t="s">
        <v>53</v>
      </c>
      <c r="M162" s="17" t="s">
        <v>25</v>
      </c>
      <c r="N162" s="17" t="s">
        <v>26</v>
      </c>
      <c r="O162" s="17">
        <v>14</v>
      </c>
      <c r="P162" s="17" t="s">
        <v>26</v>
      </c>
      <c r="Q162" s="16"/>
    </row>
    <row r="163" spans="1:17" ht="14.25">
      <c r="A163" s="17" t="s">
        <v>266</v>
      </c>
      <c r="B163" s="18">
        <v>45698</v>
      </c>
      <c r="C163" s="17" t="s">
        <v>68</v>
      </c>
      <c r="D163" s="17" t="s">
        <v>30</v>
      </c>
      <c r="E163" s="17" t="s">
        <v>39</v>
      </c>
      <c r="F163" s="17" t="s">
        <v>191</v>
      </c>
      <c r="G163" s="17" t="s">
        <v>21</v>
      </c>
      <c r="H163" s="17">
        <v>12</v>
      </c>
      <c r="I163" s="19">
        <v>79970</v>
      </c>
      <c r="J163" s="17" t="s">
        <v>93</v>
      </c>
      <c r="K163" s="17" t="s">
        <v>70</v>
      </c>
      <c r="L163" s="17" t="s">
        <v>192</v>
      </c>
      <c r="M163" s="17" t="s">
        <v>36</v>
      </c>
      <c r="N163" s="17" t="s">
        <v>26</v>
      </c>
      <c r="O163" s="17">
        <v>7</v>
      </c>
      <c r="P163" s="17" t="s">
        <v>37</v>
      </c>
      <c r="Q163" s="16"/>
    </row>
    <row r="164" spans="1:17" ht="14.25">
      <c r="A164" s="17" t="s">
        <v>267</v>
      </c>
      <c r="B164" s="18">
        <v>45756</v>
      </c>
      <c r="C164" s="17" t="s">
        <v>268</v>
      </c>
      <c r="D164" s="17" t="s">
        <v>30</v>
      </c>
      <c r="E164" s="17" t="s">
        <v>39</v>
      </c>
      <c r="F164" s="17" t="s">
        <v>183</v>
      </c>
      <c r="G164" s="17" t="s">
        <v>210</v>
      </c>
      <c r="H164" s="17">
        <v>9</v>
      </c>
      <c r="I164" s="19">
        <v>17400</v>
      </c>
      <c r="J164" s="17" t="s">
        <v>269</v>
      </c>
      <c r="K164" s="17" t="s">
        <v>270</v>
      </c>
      <c r="L164" s="17" t="s">
        <v>53</v>
      </c>
      <c r="M164" s="17" t="s">
        <v>36</v>
      </c>
      <c r="N164" s="17" t="s">
        <v>26</v>
      </c>
      <c r="O164" s="17">
        <v>7</v>
      </c>
      <c r="P164" s="17" t="s">
        <v>37</v>
      </c>
      <c r="Q164" s="16"/>
    </row>
    <row r="165" spans="1:17" ht="14.25">
      <c r="A165" s="17" t="s">
        <v>271</v>
      </c>
      <c r="B165" s="18">
        <v>45854</v>
      </c>
      <c r="C165" s="17" t="s">
        <v>29</v>
      </c>
      <c r="D165" s="17" t="s">
        <v>18</v>
      </c>
      <c r="E165" s="17" t="s">
        <v>39</v>
      </c>
      <c r="F165" s="17" t="s">
        <v>40</v>
      </c>
      <c r="G165" s="17" t="s">
        <v>83</v>
      </c>
      <c r="H165" s="17">
        <v>5</v>
      </c>
      <c r="I165" s="19">
        <v>28120</v>
      </c>
      <c r="J165" s="17" t="s">
        <v>99</v>
      </c>
      <c r="K165" s="17" t="s">
        <v>34</v>
      </c>
      <c r="L165" s="17" t="s">
        <v>58</v>
      </c>
      <c r="M165" s="17" t="s">
        <v>25</v>
      </c>
      <c r="N165" s="17" t="s">
        <v>26</v>
      </c>
      <c r="O165" s="17">
        <v>14</v>
      </c>
      <c r="P165" s="17" t="s">
        <v>26</v>
      </c>
      <c r="Q165" s="16"/>
    </row>
    <row r="166" spans="1:17" ht="14.25">
      <c r="A166" s="17" t="s">
        <v>272</v>
      </c>
      <c r="B166" s="18">
        <v>45689</v>
      </c>
      <c r="C166" s="17" t="s">
        <v>194</v>
      </c>
      <c r="D166" s="17" t="s">
        <v>89</v>
      </c>
      <c r="E166" s="17" t="s">
        <v>19</v>
      </c>
      <c r="F166" s="17" t="s">
        <v>183</v>
      </c>
      <c r="G166" s="17" t="s">
        <v>210</v>
      </c>
      <c r="H166" s="17">
        <v>7</v>
      </c>
      <c r="I166" s="19">
        <v>202760</v>
      </c>
      <c r="J166" s="17" t="s">
        <v>195</v>
      </c>
      <c r="K166" s="17" t="s">
        <v>196</v>
      </c>
      <c r="L166" s="17" t="s">
        <v>24</v>
      </c>
      <c r="M166" s="17" t="s">
        <v>90</v>
      </c>
      <c r="N166" s="17" t="s">
        <v>26</v>
      </c>
      <c r="O166" s="17">
        <v>3</v>
      </c>
      <c r="P166" s="17" t="s">
        <v>27</v>
      </c>
      <c r="Q166" s="16"/>
    </row>
    <row r="167" spans="1:17" ht="14.25">
      <c r="A167" s="17" t="s">
        <v>273</v>
      </c>
      <c r="B167" s="18">
        <v>45721</v>
      </c>
      <c r="C167" s="17" t="s">
        <v>29</v>
      </c>
      <c r="D167" s="17" t="s">
        <v>51</v>
      </c>
      <c r="E167" s="17" t="s">
        <v>39</v>
      </c>
      <c r="F167" s="17" t="s">
        <v>74</v>
      </c>
      <c r="G167" s="17" t="s">
        <v>83</v>
      </c>
      <c r="H167" s="17">
        <v>20</v>
      </c>
      <c r="I167" s="19">
        <v>22030</v>
      </c>
      <c r="J167" s="17" t="s">
        <v>33</v>
      </c>
      <c r="K167" s="17" t="s">
        <v>34</v>
      </c>
      <c r="L167" s="17" t="s">
        <v>58</v>
      </c>
      <c r="M167" s="17" t="s">
        <v>53</v>
      </c>
      <c r="N167" s="17" t="s">
        <v>26</v>
      </c>
      <c r="O167" s="17">
        <v>30</v>
      </c>
      <c r="P167" s="17" t="s">
        <v>26</v>
      </c>
      <c r="Q167" s="16"/>
    </row>
    <row r="168" spans="1:17" ht="14.25">
      <c r="A168" s="17" t="s">
        <v>274</v>
      </c>
      <c r="B168" s="18">
        <v>45713</v>
      </c>
      <c r="C168" s="17" t="s">
        <v>224</v>
      </c>
      <c r="D168" s="17" t="s">
        <v>18</v>
      </c>
      <c r="E168" s="17" t="s">
        <v>39</v>
      </c>
      <c r="F168" s="17" t="s">
        <v>32</v>
      </c>
      <c r="G168" s="17" t="s">
        <v>210</v>
      </c>
      <c r="H168" s="17">
        <v>9</v>
      </c>
      <c r="I168" s="19">
        <v>54560</v>
      </c>
      <c r="J168" s="17" t="s">
        <v>239</v>
      </c>
      <c r="K168" s="17" t="s">
        <v>226</v>
      </c>
      <c r="L168" s="17" t="s">
        <v>58</v>
      </c>
      <c r="M168" s="17" t="s">
        <v>25</v>
      </c>
      <c r="N168" s="17" t="s">
        <v>37</v>
      </c>
      <c r="O168" s="17">
        <v>14</v>
      </c>
      <c r="P168" s="17" t="s">
        <v>26</v>
      </c>
      <c r="Q168" s="16"/>
    </row>
    <row r="169" spans="1:17" ht="14.25">
      <c r="A169" s="17" t="s">
        <v>275</v>
      </c>
      <c r="B169" s="18">
        <v>45766</v>
      </c>
      <c r="C169" s="17" t="s">
        <v>203</v>
      </c>
      <c r="D169" s="17" t="s">
        <v>51</v>
      </c>
      <c r="E169" s="17" t="s">
        <v>31</v>
      </c>
      <c r="F169" s="17" t="s">
        <v>215</v>
      </c>
      <c r="G169" s="17" t="s">
        <v>177</v>
      </c>
      <c r="H169" s="17">
        <v>56</v>
      </c>
      <c r="I169" s="19">
        <v>19420</v>
      </c>
      <c r="J169" s="17" t="s">
        <v>276</v>
      </c>
      <c r="K169" s="17" t="s">
        <v>62</v>
      </c>
      <c r="L169" s="17" t="s">
        <v>58</v>
      </c>
      <c r="M169" s="17" t="s">
        <v>53</v>
      </c>
      <c r="N169" s="17" t="s">
        <v>26</v>
      </c>
      <c r="O169" s="17">
        <v>30</v>
      </c>
      <c r="P169" s="17" t="s">
        <v>27</v>
      </c>
      <c r="Q169" s="16"/>
    </row>
    <row r="170" spans="1:17" ht="14.25">
      <c r="A170" s="17" t="s">
        <v>277</v>
      </c>
      <c r="B170" s="18">
        <v>45932</v>
      </c>
      <c r="C170" s="17" t="s">
        <v>185</v>
      </c>
      <c r="D170" s="17" t="s">
        <v>18</v>
      </c>
      <c r="E170" s="17" t="s">
        <v>39</v>
      </c>
      <c r="F170" s="17" t="s">
        <v>215</v>
      </c>
      <c r="G170" s="17" t="s">
        <v>21</v>
      </c>
      <c r="H170" s="17">
        <v>11</v>
      </c>
      <c r="I170" s="19">
        <v>104850</v>
      </c>
      <c r="J170" s="17" t="s">
        <v>186</v>
      </c>
      <c r="K170" s="17" t="s">
        <v>187</v>
      </c>
      <c r="L170" s="17" t="s">
        <v>58</v>
      </c>
      <c r="M170" s="17" t="s">
        <v>25</v>
      </c>
      <c r="N170" s="17" t="s">
        <v>37</v>
      </c>
      <c r="O170" s="17">
        <v>14</v>
      </c>
      <c r="P170" s="17" t="s">
        <v>26</v>
      </c>
      <c r="Q170" s="16"/>
    </row>
    <row r="171" spans="1:17" ht="14.25">
      <c r="A171" s="17" t="s">
        <v>278</v>
      </c>
      <c r="B171" s="18">
        <v>45987</v>
      </c>
      <c r="C171" s="17" t="s">
        <v>46</v>
      </c>
      <c r="D171" s="17" t="s">
        <v>51</v>
      </c>
      <c r="E171" s="17" t="s">
        <v>39</v>
      </c>
      <c r="F171" s="17" t="s">
        <v>20</v>
      </c>
      <c r="G171" s="17" t="s">
        <v>177</v>
      </c>
      <c r="H171" s="17">
        <v>9</v>
      </c>
      <c r="I171" s="19">
        <v>19320</v>
      </c>
      <c r="J171" s="17" t="s">
        <v>111</v>
      </c>
      <c r="K171" s="17" t="s">
        <v>48</v>
      </c>
      <c r="L171" s="17" t="s">
        <v>24</v>
      </c>
      <c r="M171" s="17" t="s">
        <v>53</v>
      </c>
      <c r="N171" s="17" t="s">
        <v>37</v>
      </c>
      <c r="O171" s="17">
        <v>30</v>
      </c>
      <c r="P171" s="17" t="s">
        <v>26</v>
      </c>
      <c r="Q171" s="16"/>
    </row>
    <row r="172" spans="1:17" ht="14.25">
      <c r="A172" s="17" t="s">
        <v>279</v>
      </c>
      <c r="B172" s="18">
        <v>45905</v>
      </c>
      <c r="C172" s="17" t="s">
        <v>60</v>
      </c>
      <c r="D172" s="17" t="s">
        <v>89</v>
      </c>
      <c r="E172" s="17" t="s">
        <v>64</v>
      </c>
      <c r="F172" s="17" t="s">
        <v>72</v>
      </c>
      <c r="G172" s="17" t="s">
        <v>204</v>
      </c>
      <c r="H172" s="17">
        <v>1</v>
      </c>
      <c r="I172" s="19">
        <v>101690</v>
      </c>
      <c r="J172" s="17" t="s">
        <v>103</v>
      </c>
      <c r="K172" s="17" t="s">
        <v>62</v>
      </c>
      <c r="L172" s="17" t="s">
        <v>58</v>
      </c>
      <c r="M172" s="17" t="s">
        <v>90</v>
      </c>
      <c r="N172" s="17" t="s">
        <v>26</v>
      </c>
      <c r="O172" s="17">
        <v>3</v>
      </c>
      <c r="P172" s="17" t="s">
        <v>27</v>
      </c>
      <c r="Q172" s="16"/>
    </row>
    <row r="173" spans="1:17" ht="14.25">
      <c r="A173" s="17" t="s">
        <v>280</v>
      </c>
      <c r="B173" s="18">
        <v>46002</v>
      </c>
      <c r="C173" s="17" t="s">
        <v>68</v>
      </c>
      <c r="D173" s="17" t="s">
        <v>18</v>
      </c>
      <c r="E173" s="17" t="s">
        <v>19</v>
      </c>
      <c r="F173" s="17" t="s">
        <v>176</v>
      </c>
      <c r="G173" s="17" t="s">
        <v>21</v>
      </c>
      <c r="H173" s="17">
        <v>10</v>
      </c>
      <c r="I173" s="19">
        <v>83270</v>
      </c>
      <c r="J173" s="17" t="s">
        <v>93</v>
      </c>
      <c r="K173" s="17" t="s">
        <v>70</v>
      </c>
      <c r="L173" s="17" t="s">
        <v>35</v>
      </c>
      <c r="M173" s="17" t="s">
        <v>25</v>
      </c>
      <c r="N173" s="17" t="s">
        <v>37</v>
      </c>
      <c r="O173" s="17">
        <v>14</v>
      </c>
      <c r="P173" s="17" t="s">
        <v>27</v>
      </c>
      <c r="Q173" s="16"/>
    </row>
    <row r="174" spans="1:17" ht="14.25">
      <c r="A174" s="17" t="s">
        <v>281</v>
      </c>
      <c r="B174" s="18">
        <v>45878</v>
      </c>
      <c r="C174" s="17" t="s">
        <v>55</v>
      </c>
      <c r="D174" s="17" t="s">
        <v>18</v>
      </c>
      <c r="E174" s="17" t="s">
        <v>19</v>
      </c>
      <c r="F174" s="17" t="s">
        <v>72</v>
      </c>
      <c r="G174" s="17" t="s">
        <v>44</v>
      </c>
      <c r="H174" s="17">
        <v>14</v>
      </c>
      <c r="I174" s="19">
        <v>29760</v>
      </c>
      <c r="J174" s="17" t="s">
        <v>66</v>
      </c>
      <c r="K174" s="17" t="s">
        <v>57</v>
      </c>
      <c r="L174" s="17" t="s">
        <v>58</v>
      </c>
      <c r="M174" s="17" t="s">
        <v>25</v>
      </c>
      <c r="N174" s="17" t="s">
        <v>37</v>
      </c>
      <c r="O174" s="17">
        <v>14</v>
      </c>
      <c r="P174" s="17" t="s">
        <v>27</v>
      </c>
      <c r="Q174" s="16"/>
    </row>
    <row r="175" spans="1:17" ht="14.25">
      <c r="A175" s="17" t="s">
        <v>282</v>
      </c>
      <c r="B175" s="18">
        <v>45844</v>
      </c>
      <c r="C175" s="17" t="s">
        <v>179</v>
      </c>
      <c r="D175" s="17" t="s">
        <v>18</v>
      </c>
      <c r="E175" s="17" t="s">
        <v>39</v>
      </c>
      <c r="F175" s="17" t="s">
        <v>74</v>
      </c>
      <c r="G175" s="17" t="s">
        <v>41</v>
      </c>
      <c r="H175" s="17">
        <v>9</v>
      </c>
      <c r="I175" s="19">
        <v>23820</v>
      </c>
      <c r="J175" s="17" t="s">
        <v>283</v>
      </c>
      <c r="K175" s="17" t="s">
        <v>181</v>
      </c>
      <c r="L175" s="17" t="s">
        <v>24</v>
      </c>
      <c r="M175" s="17" t="s">
        <v>25</v>
      </c>
      <c r="N175" s="17" t="s">
        <v>26</v>
      </c>
      <c r="O175" s="17">
        <v>14</v>
      </c>
      <c r="P175" s="17" t="s">
        <v>26</v>
      </c>
      <c r="Q175" s="16"/>
    </row>
    <row r="176" spans="1:17" ht="14.25">
      <c r="A176" s="17" t="s">
        <v>284</v>
      </c>
      <c r="B176" s="18">
        <v>46021</v>
      </c>
      <c r="C176" s="17" t="s">
        <v>29</v>
      </c>
      <c r="D176" s="17" t="s">
        <v>30</v>
      </c>
      <c r="E176" s="17" t="s">
        <v>39</v>
      </c>
      <c r="F176" s="17" t="s">
        <v>176</v>
      </c>
      <c r="G176" s="17" t="s">
        <v>226</v>
      </c>
      <c r="H176" s="17">
        <v>8</v>
      </c>
      <c r="I176" s="19">
        <v>31570</v>
      </c>
      <c r="J176" s="17" t="s">
        <v>33</v>
      </c>
      <c r="K176" s="17" t="s">
        <v>34</v>
      </c>
      <c r="L176" s="17" t="s">
        <v>192</v>
      </c>
      <c r="M176" s="17" t="s">
        <v>36</v>
      </c>
      <c r="N176" s="17" t="s">
        <v>26</v>
      </c>
      <c r="O176" s="17">
        <v>7</v>
      </c>
      <c r="P176" s="17" t="s">
        <v>37</v>
      </c>
      <c r="Q176" s="16"/>
    </row>
    <row r="177" spans="1:17" ht="14.25">
      <c r="A177" s="17" t="s">
        <v>285</v>
      </c>
      <c r="B177" s="18">
        <v>45798</v>
      </c>
      <c r="C177" s="17" t="s">
        <v>224</v>
      </c>
      <c r="D177" s="17" t="s">
        <v>18</v>
      </c>
      <c r="E177" s="17" t="s">
        <v>39</v>
      </c>
      <c r="F177" s="17" t="s">
        <v>183</v>
      </c>
      <c r="G177" s="17" t="s">
        <v>83</v>
      </c>
      <c r="H177" s="17">
        <v>14</v>
      </c>
      <c r="I177" s="19">
        <v>45890</v>
      </c>
      <c r="J177" s="17" t="s">
        <v>239</v>
      </c>
      <c r="K177" s="17" t="s">
        <v>226</v>
      </c>
      <c r="L177" s="17" t="s">
        <v>24</v>
      </c>
      <c r="M177" s="17" t="s">
        <v>25</v>
      </c>
      <c r="N177" s="17" t="s">
        <v>37</v>
      </c>
      <c r="O177" s="17">
        <v>14</v>
      </c>
      <c r="P177" s="17" t="s">
        <v>26</v>
      </c>
      <c r="Q177" s="16"/>
    </row>
    <row r="178" spans="1:17" ht="14.25">
      <c r="A178" s="17" t="s">
        <v>286</v>
      </c>
      <c r="B178" s="18">
        <v>45748</v>
      </c>
      <c r="C178" s="17" t="s">
        <v>203</v>
      </c>
      <c r="D178" s="17" t="s">
        <v>18</v>
      </c>
      <c r="E178" s="17" t="s">
        <v>39</v>
      </c>
      <c r="F178" s="17" t="s">
        <v>20</v>
      </c>
      <c r="G178" s="17" t="s">
        <v>177</v>
      </c>
      <c r="H178" s="17">
        <v>4</v>
      </c>
      <c r="I178" s="19">
        <v>37260</v>
      </c>
      <c r="J178" s="17" t="s">
        <v>55</v>
      </c>
      <c r="K178" s="17" t="s">
        <v>62</v>
      </c>
      <c r="L178" s="17" t="s">
        <v>35</v>
      </c>
      <c r="M178" s="17" t="s">
        <v>25</v>
      </c>
      <c r="N178" s="17" t="s">
        <v>26</v>
      </c>
      <c r="O178" s="17">
        <v>14</v>
      </c>
      <c r="P178" s="17" t="s">
        <v>26</v>
      </c>
      <c r="Q178" s="16"/>
    </row>
    <row r="179" spans="1:17" ht="14.25">
      <c r="A179" s="17" t="s">
        <v>287</v>
      </c>
      <c r="B179" s="18">
        <v>45989</v>
      </c>
      <c r="C179" s="17" t="s">
        <v>55</v>
      </c>
      <c r="D179" s="17" t="s">
        <v>18</v>
      </c>
      <c r="E179" s="17" t="s">
        <v>39</v>
      </c>
      <c r="F179" s="17" t="s">
        <v>20</v>
      </c>
      <c r="G179" s="17" t="s">
        <v>44</v>
      </c>
      <c r="H179" s="17">
        <v>16</v>
      </c>
      <c r="I179" s="19">
        <v>28250</v>
      </c>
      <c r="J179" s="17" t="s">
        <v>56</v>
      </c>
      <c r="K179" s="17" t="s">
        <v>57</v>
      </c>
      <c r="L179" s="17" t="s">
        <v>35</v>
      </c>
      <c r="M179" s="17" t="s">
        <v>25</v>
      </c>
      <c r="N179" s="17" t="s">
        <v>26</v>
      </c>
      <c r="O179" s="17">
        <v>14</v>
      </c>
      <c r="P179" s="17" t="s">
        <v>37</v>
      </c>
      <c r="Q179" s="16"/>
    </row>
    <row r="180" spans="1:17" ht="14.25">
      <c r="A180" s="17" t="s">
        <v>288</v>
      </c>
      <c r="B180" s="18">
        <v>45810</v>
      </c>
      <c r="C180" s="17" t="s">
        <v>55</v>
      </c>
      <c r="D180" s="17" t="s">
        <v>18</v>
      </c>
      <c r="E180" s="17" t="s">
        <v>39</v>
      </c>
      <c r="F180" s="17" t="s">
        <v>40</v>
      </c>
      <c r="G180" s="17" t="s">
        <v>21</v>
      </c>
      <c r="H180" s="17">
        <v>15</v>
      </c>
      <c r="I180" s="19">
        <v>29540</v>
      </c>
      <c r="J180" s="17" t="s">
        <v>56</v>
      </c>
      <c r="K180" s="17" t="s">
        <v>57</v>
      </c>
      <c r="L180" s="17" t="s">
        <v>58</v>
      </c>
      <c r="M180" s="17" t="s">
        <v>25</v>
      </c>
      <c r="N180" s="17" t="s">
        <v>26</v>
      </c>
      <c r="O180" s="17">
        <v>14</v>
      </c>
      <c r="P180" s="17" t="s">
        <v>37</v>
      </c>
      <c r="Q180" s="16"/>
    </row>
    <row r="181" spans="1:17" ht="14.25">
      <c r="A181" s="17" t="s">
        <v>289</v>
      </c>
      <c r="B181" s="18">
        <v>45819</v>
      </c>
      <c r="C181" s="17" t="s">
        <v>29</v>
      </c>
      <c r="D181" s="17" t="s">
        <v>30</v>
      </c>
      <c r="E181" s="17" t="s">
        <v>39</v>
      </c>
      <c r="F181" s="17" t="s">
        <v>20</v>
      </c>
      <c r="G181" s="17" t="s">
        <v>83</v>
      </c>
      <c r="H181" s="17">
        <v>10</v>
      </c>
      <c r="I181" s="19">
        <v>40880</v>
      </c>
      <c r="J181" s="17" t="s">
        <v>99</v>
      </c>
      <c r="K181" s="17" t="s">
        <v>34</v>
      </c>
      <c r="L181" s="17" t="s">
        <v>53</v>
      </c>
      <c r="M181" s="17" t="s">
        <v>36</v>
      </c>
      <c r="N181" s="17" t="s">
        <v>26</v>
      </c>
      <c r="O181" s="17">
        <v>7</v>
      </c>
      <c r="P181" s="17" t="s">
        <v>37</v>
      </c>
      <c r="Q181" s="16"/>
    </row>
    <row r="182" spans="1:17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17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17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17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17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1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</row>
    <row r="188" spans="1:17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</row>
    <row r="189" spans="1:17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</row>
    <row r="190" spans="1:17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</row>
    <row r="191" spans="1:17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</row>
    <row r="192" spans="1:17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</row>
    <row r="193" spans="1:17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</row>
    <row r="194" spans="1:17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</row>
    <row r="195" spans="1:17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</row>
    <row r="196" spans="1:17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</row>
    <row r="197" spans="1:1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</row>
    <row r="198" spans="1:17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</row>
    <row r="199" spans="1:17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</row>
    <row r="200" spans="1:17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</row>
    <row r="201" spans="1:17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</row>
    <row r="202" spans="1:17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</row>
    <row r="203" spans="1:17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</row>
    <row r="204" spans="1:17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</row>
    <row r="205" spans="1:17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</row>
    <row r="206" spans="1:17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</row>
    <row r="207" spans="1:1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</row>
    <row r="208" spans="1:17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</row>
    <row r="209" spans="1:17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</row>
    <row r="210" spans="1:17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</row>
    <row r="211" spans="1:17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</row>
    <row r="212" spans="1:17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</row>
    <row r="213" spans="1:17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17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17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17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</row>
    <row r="218" spans="1:17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</row>
    <row r="219" spans="1:17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</row>
    <row r="220" spans="1:17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</row>
    <row r="221" spans="1:17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</row>
    <row r="222" spans="1:17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</row>
    <row r="223" spans="1:17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</row>
    <row r="224" spans="1:17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</row>
    <row r="225" spans="1:17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</row>
    <row r="226" spans="1:17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</row>
    <row r="227" spans="1:1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</row>
    <row r="228" spans="1:17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</row>
    <row r="229" spans="1:17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</row>
    <row r="230" spans="1:17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</row>
    <row r="231" spans="1:17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</row>
    <row r="232" spans="1:17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</row>
    <row r="233" spans="1:17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</row>
    <row r="234" spans="1:17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</row>
    <row r="235" spans="1:17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</row>
    <row r="236" spans="1:17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</row>
    <row r="237" spans="1:1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</row>
    <row r="238" spans="1:17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</row>
    <row r="239" spans="1:17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</row>
    <row r="240" spans="1:17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</row>
    <row r="241" spans="1:17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</row>
    <row r="242" spans="1:17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</row>
    <row r="243" spans="1:17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</row>
    <row r="244" spans="1:17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</row>
    <row r="245" spans="1:17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</row>
    <row r="246" spans="1:17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</row>
    <row r="247" spans="1:1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</row>
    <row r="248" spans="1:17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</row>
    <row r="249" spans="1:17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</row>
    <row r="250" spans="1:17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</row>
    <row r="251" spans="1:17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</row>
    <row r="252" spans="1:17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</row>
    <row r="253" spans="1:17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 spans="1:17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 spans="1:17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</row>
    <row r="256" spans="1:17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</row>
    <row r="257" spans="1:1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</row>
    <row r="258" spans="1:17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</row>
    <row r="259" spans="1:17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</row>
    <row r="260" spans="1:17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</row>
    <row r="261" spans="1:17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</row>
    <row r="262" spans="1:17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</row>
    <row r="263" spans="1:17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</row>
    <row r="264" spans="1:17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</row>
    <row r="265" spans="1:17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</row>
    <row r="266" spans="1:17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</row>
    <row r="267" spans="1:1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</row>
    <row r="268" spans="1:17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</row>
    <row r="269" spans="1:17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 spans="1:17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 spans="1:17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1:17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</row>
    <row r="273" spans="1:17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</row>
    <row r="274" spans="1:17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</row>
    <row r="275" spans="1:17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</row>
    <row r="276" spans="1:17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</row>
    <row r="277" spans="1:1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</row>
    <row r="278" spans="1:17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</row>
    <row r="279" spans="1:17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</row>
    <row r="280" spans="1:17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</row>
    <row r="281" spans="1:17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</row>
    <row r="282" spans="1:17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</row>
    <row r="283" spans="1:17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</row>
    <row r="284" spans="1:17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</row>
    <row r="285" spans="1:17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</row>
    <row r="286" spans="1:17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</row>
    <row r="287" spans="1:1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</row>
    <row r="288" spans="1:17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</row>
    <row r="289" spans="1:17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</row>
    <row r="290" spans="1:17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</row>
  </sheetData>
  <conditionalFormatting sqref="D2:D181">
    <cfRule type="expression" dxfId="26" priority="2">
      <formula>D2="Critical"</formula>
    </cfRule>
    <cfRule type="expression" dxfId="25" priority="3">
      <formula>D2="High"</formula>
    </cfRule>
  </conditionalFormatting>
  <conditionalFormatting sqref="E2:E181">
    <cfRule type="expression" dxfId="24" priority="5">
      <formula>OR(E2="Open",E2="In Progress")</formula>
    </cfRule>
  </conditionalFormatting>
  <conditionalFormatting sqref="P2:P181">
    <cfRule type="expression" dxfId="23" priority="4">
      <formula>P2="Yes"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5"/>
  <sheetViews>
    <sheetView zoomScaleNormal="100" workbookViewId="0">
      <selection activeCell="E8" sqref="E8"/>
    </sheetView>
  </sheetViews>
  <sheetFormatPr defaultColWidth="8.7109375" defaultRowHeight="12.75"/>
  <cols>
    <col min="1" max="1" width="24" customWidth="1"/>
    <col min="2" max="2" width="48" customWidth="1"/>
    <col min="3" max="3" width="36" customWidth="1"/>
  </cols>
  <sheetData>
    <row r="1" spans="1:3" ht="15">
      <c r="A1" s="20" t="s">
        <v>290</v>
      </c>
      <c r="B1" s="20" t="s">
        <v>291</v>
      </c>
      <c r="C1" s="20" t="s">
        <v>292</v>
      </c>
    </row>
    <row r="2" spans="1:3" ht="14.25">
      <c r="A2" s="21" t="s">
        <v>0</v>
      </c>
      <c r="B2" s="21" t="s">
        <v>293</v>
      </c>
      <c r="C2" s="21" t="s">
        <v>16</v>
      </c>
    </row>
    <row r="3" spans="1:3" ht="14.25">
      <c r="A3" s="21" t="s">
        <v>1</v>
      </c>
      <c r="B3" s="21" t="s">
        <v>294</v>
      </c>
      <c r="C3" s="21" t="s">
        <v>295</v>
      </c>
    </row>
    <row r="4" spans="1:3" ht="28.5">
      <c r="A4" s="21" t="s">
        <v>2</v>
      </c>
      <c r="B4" s="21" t="s">
        <v>296</v>
      </c>
      <c r="C4" s="21" t="s">
        <v>297</v>
      </c>
    </row>
    <row r="5" spans="1:3" ht="28.5">
      <c r="A5" s="21" t="s">
        <v>3</v>
      </c>
      <c r="B5" s="21" t="s">
        <v>298</v>
      </c>
      <c r="C5" s="21" t="s">
        <v>299</v>
      </c>
    </row>
    <row r="6" spans="1:3" ht="14.25">
      <c r="A6" s="21" t="s">
        <v>4</v>
      </c>
      <c r="B6" s="21" t="s">
        <v>300</v>
      </c>
      <c r="C6" s="21" t="s">
        <v>301</v>
      </c>
    </row>
    <row r="7" spans="1:3" ht="14.25">
      <c r="A7" s="21" t="s">
        <v>5</v>
      </c>
      <c r="B7" s="21" t="s">
        <v>302</v>
      </c>
      <c r="C7" s="21" t="s">
        <v>303</v>
      </c>
    </row>
    <row r="8" spans="1:3" ht="28.5">
      <c r="A8" s="21" t="s">
        <v>6</v>
      </c>
      <c r="B8" s="21" t="s">
        <v>304</v>
      </c>
      <c r="C8" s="21" t="s">
        <v>305</v>
      </c>
    </row>
    <row r="9" spans="1:3" ht="42.75">
      <c r="A9" s="21" t="s">
        <v>7</v>
      </c>
      <c r="B9" s="21" t="s">
        <v>306</v>
      </c>
      <c r="C9" s="21" t="s">
        <v>307</v>
      </c>
    </row>
    <row r="10" spans="1:3" ht="28.5">
      <c r="A10" s="21" t="s">
        <v>8</v>
      </c>
      <c r="B10" s="21" t="s">
        <v>308</v>
      </c>
      <c r="C10" s="21" t="s">
        <v>309</v>
      </c>
    </row>
    <row r="11" spans="1:3" ht="28.5">
      <c r="A11" s="21" t="s">
        <v>9</v>
      </c>
      <c r="B11" s="21" t="s">
        <v>310</v>
      </c>
      <c r="C11" s="21" t="s">
        <v>311</v>
      </c>
    </row>
    <row r="12" spans="1:3" ht="28.5">
      <c r="A12" s="21" t="s">
        <v>10</v>
      </c>
      <c r="B12" s="21" t="s">
        <v>312</v>
      </c>
      <c r="C12" s="21" t="s">
        <v>313</v>
      </c>
    </row>
    <row r="13" spans="1:3" ht="28.5">
      <c r="A13" s="21" t="s">
        <v>11</v>
      </c>
      <c r="B13" s="21" t="s">
        <v>314</v>
      </c>
      <c r="C13" s="21" t="s">
        <v>315</v>
      </c>
    </row>
    <row r="14" spans="1:3" ht="42.75">
      <c r="A14" s="21" t="s">
        <v>12</v>
      </c>
      <c r="B14" s="21" t="s">
        <v>316</v>
      </c>
      <c r="C14" s="21" t="s">
        <v>317</v>
      </c>
    </row>
    <row r="15" spans="1:3" ht="28.5">
      <c r="A15" s="21" t="s">
        <v>13</v>
      </c>
      <c r="B15" s="21" t="s">
        <v>318</v>
      </c>
      <c r="C15" s="21" t="s">
        <v>319</v>
      </c>
    </row>
    <row r="16" spans="1:3" ht="28.5">
      <c r="A16" s="21" t="s">
        <v>14</v>
      </c>
      <c r="B16" s="21" t="s">
        <v>320</v>
      </c>
      <c r="C16" s="21" t="s">
        <v>321</v>
      </c>
    </row>
    <row r="17" spans="1:3" ht="42.75">
      <c r="A17" s="21" t="s">
        <v>15</v>
      </c>
      <c r="B17" s="21" t="s">
        <v>322</v>
      </c>
      <c r="C17" s="21" t="s">
        <v>323</v>
      </c>
    </row>
    <row r="18" spans="1:3">
      <c r="A18" s="16"/>
      <c r="B18" s="16"/>
      <c r="C18" s="16"/>
    </row>
    <row r="19" spans="1:3">
      <c r="A19" s="16"/>
      <c r="B19" s="16"/>
      <c r="C19" s="16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6"/>
      <c r="B22" s="16"/>
      <c r="C22" s="16"/>
    </row>
    <row r="23" spans="1:3">
      <c r="A23" s="16"/>
      <c r="B23" s="16"/>
      <c r="C23" s="16"/>
    </row>
    <row r="24" spans="1:3">
      <c r="A24" s="16"/>
      <c r="B24" s="16"/>
      <c r="C24" s="16"/>
    </row>
    <row r="25" spans="1:3">
      <c r="A25" s="16"/>
      <c r="B25" s="16"/>
      <c r="C25" s="16"/>
    </row>
    <row r="26" spans="1:3">
      <c r="A26" s="16"/>
      <c r="B26" s="16"/>
      <c r="C26" s="16"/>
    </row>
    <row r="27" spans="1:3">
      <c r="A27" s="16"/>
      <c r="B27" s="16"/>
      <c r="C27" s="16"/>
    </row>
    <row r="28" spans="1:3">
      <c r="A28" s="16"/>
      <c r="B28" s="16"/>
      <c r="C28" s="16"/>
    </row>
    <row r="29" spans="1:3">
      <c r="A29" s="16"/>
      <c r="B29" s="16"/>
      <c r="C29" s="16"/>
    </row>
    <row r="30" spans="1:3">
      <c r="A30" s="16"/>
      <c r="B30" s="16"/>
      <c r="C30" s="16"/>
    </row>
    <row r="31" spans="1:3">
      <c r="A31" s="16"/>
      <c r="B31" s="16"/>
      <c r="C31" s="16"/>
    </row>
    <row r="32" spans="1:3">
      <c r="A32" s="16"/>
      <c r="B32" s="16"/>
      <c r="C32" s="16"/>
    </row>
    <row r="33" spans="1:3">
      <c r="A33" s="16"/>
      <c r="B33" s="16"/>
      <c r="C33" s="16"/>
    </row>
    <row r="34" spans="1:3">
      <c r="A34" s="16"/>
      <c r="B34" s="16"/>
      <c r="C34" s="16"/>
    </row>
    <row r="35" spans="1:3">
      <c r="A35" s="16"/>
      <c r="B35" s="16"/>
      <c r="C35" s="16"/>
    </row>
    <row r="36" spans="1:3">
      <c r="A36" s="16"/>
      <c r="B36" s="16"/>
      <c r="C36" s="16"/>
    </row>
    <row r="37" spans="1:3">
      <c r="A37" s="16"/>
      <c r="B37" s="16"/>
      <c r="C37" s="16"/>
    </row>
    <row r="38" spans="1:3">
      <c r="A38" s="16"/>
      <c r="B38" s="16"/>
      <c r="C38" s="16"/>
    </row>
    <row r="39" spans="1:3">
      <c r="A39" s="16"/>
      <c r="B39" s="16"/>
      <c r="C39" s="16"/>
    </row>
    <row r="40" spans="1:3">
      <c r="A40" s="16"/>
      <c r="B40" s="16"/>
      <c r="C40" s="16"/>
    </row>
    <row r="41" spans="1:3">
      <c r="A41" s="16"/>
      <c r="B41" s="16"/>
      <c r="C41" s="16"/>
    </row>
    <row r="42" spans="1:3">
      <c r="A42" s="16"/>
      <c r="B42" s="16"/>
      <c r="C42" s="16"/>
    </row>
    <row r="43" spans="1:3">
      <c r="A43" s="16"/>
      <c r="B43" s="16"/>
      <c r="C43" s="16"/>
    </row>
    <row r="44" spans="1:3">
      <c r="A44" s="16"/>
      <c r="B44" s="16"/>
      <c r="C44" s="16"/>
    </row>
    <row r="45" spans="1:3">
      <c r="A45" s="16"/>
      <c r="B45" s="16"/>
      <c r="C45" s="16"/>
    </row>
    <row r="46" spans="1:3">
      <c r="A46" s="16"/>
      <c r="B46" s="16"/>
      <c r="C46" s="16"/>
    </row>
    <row r="47" spans="1:3">
      <c r="A47" s="16"/>
      <c r="B47" s="16"/>
      <c r="C47" s="16"/>
    </row>
    <row r="48" spans="1:3">
      <c r="A48" s="16"/>
      <c r="B48" s="16"/>
      <c r="C48" s="16"/>
    </row>
    <row r="49" spans="1:3">
      <c r="A49" s="16"/>
      <c r="B49" s="16"/>
      <c r="C49" s="16"/>
    </row>
    <row r="50" spans="1:3">
      <c r="A50" s="16"/>
      <c r="B50" s="16"/>
      <c r="C50" s="16"/>
    </row>
    <row r="51" spans="1:3">
      <c r="A51" s="16"/>
      <c r="B51" s="16"/>
      <c r="C51" s="16"/>
    </row>
    <row r="52" spans="1:3">
      <c r="A52" s="16"/>
      <c r="B52" s="16"/>
      <c r="C52" s="16"/>
    </row>
    <row r="53" spans="1:3">
      <c r="A53" s="16"/>
      <c r="B53" s="16"/>
      <c r="C53" s="16"/>
    </row>
    <row r="54" spans="1:3">
      <c r="A54" s="16"/>
      <c r="B54" s="16"/>
      <c r="C54" s="16"/>
    </row>
    <row r="55" spans="1:3">
      <c r="A55" s="16"/>
      <c r="B55" s="16"/>
      <c r="C55" s="16"/>
    </row>
    <row r="56" spans="1:3">
      <c r="A56" s="16"/>
      <c r="B56" s="16"/>
      <c r="C56" s="16"/>
    </row>
    <row r="57" spans="1:3">
      <c r="A57" s="16"/>
      <c r="B57" s="16"/>
      <c r="C57" s="16"/>
    </row>
    <row r="58" spans="1:3">
      <c r="A58" s="16"/>
      <c r="B58" s="16"/>
      <c r="C58" s="16"/>
    </row>
    <row r="59" spans="1:3">
      <c r="A59" s="16"/>
      <c r="B59" s="16"/>
      <c r="C59" s="16"/>
    </row>
    <row r="60" spans="1:3">
      <c r="A60" s="16"/>
      <c r="B60" s="16"/>
      <c r="C60" s="16"/>
    </row>
    <row r="61" spans="1:3">
      <c r="A61" s="16"/>
      <c r="B61" s="16"/>
      <c r="C61" s="16"/>
    </row>
    <row r="62" spans="1:3">
      <c r="A62" s="16"/>
      <c r="B62" s="16"/>
      <c r="C62" s="16"/>
    </row>
    <row r="63" spans="1:3">
      <c r="A63" s="16"/>
      <c r="B63" s="16"/>
      <c r="C63" s="16"/>
    </row>
    <row r="64" spans="1:3">
      <c r="A64" s="16"/>
      <c r="B64" s="16"/>
      <c r="C64" s="16"/>
    </row>
    <row r="65" spans="1:3">
      <c r="A65" s="16"/>
      <c r="B65" s="16"/>
      <c r="C65" s="16"/>
    </row>
    <row r="66" spans="1:3">
      <c r="A66" s="16"/>
      <c r="B66" s="16"/>
      <c r="C66" s="16"/>
    </row>
    <row r="67" spans="1:3">
      <c r="A67" s="16"/>
      <c r="B67" s="16"/>
      <c r="C67" s="16"/>
    </row>
    <row r="68" spans="1:3">
      <c r="A68" s="16"/>
      <c r="B68" s="16"/>
      <c r="C68" s="16"/>
    </row>
    <row r="69" spans="1:3">
      <c r="A69" s="16"/>
      <c r="B69" s="16"/>
      <c r="C69" s="16"/>
    </row>
    <row r="70" spans="1:3">
      <c r="A70" s="16"/>
      <c r="B70" s="16"/>
      <c r="C70" s="16"/>
    </row>
    <row r="71" spans="1:3">
      <c r="A71" s="16"/>
      <c r="B71" s="16"/>
      <c r="C71" s="16"/>
    </row>
    <row r="72" spans="1:3">
      <c r="A72" s="16"/>
      <c r="B72" s="16"/>
      <c r="C72" s="16"/>
    </row>
    <row r="73" spans="1:3">
      <c r="A73" s="16"/>
      <c r="B73" s="16"/>
      <c r="C73" s="16"/>
    </row>
    <row r="74" spans="1:3">
      <c r="A74" s="16"/>
      <c r="B74" s="16"/>
      <c r="C74" s="16"/>
    </row>
    <row r="75" spans="1:3">
      <c r="A75" s="16"/>
      <c r="B75" s="16"/>
      <c r="C75" s="16"/>
    </row>
    <row r="76" spans="1:3">
      <c r="A76" s="16"/>
      <c r="B76" s="16"/>
      <c r="C76" s="16"/>
    </row>
    <row r="77" spans="1:3">
      <c r="A77" s="16"/>
      <c r="B77" s="16"/>
      <c r="C77" s="16"/>
    </row>
    <row r="78" spans="1:3">
      <c r="A78" s="16"/>
      <c r="B78" s="16"/>
      <c r="C78" s="16"/>
    </row>
    <row r="79" spans="1:3">
      <c r="A79" s="16"/>
      <c r="B79" s="16"/>
      <c r="C79" s="16"/>
    </row>
    <row r="80" spans="1:3">
      <c r="A80" s="16"/>
      <c r="B80" s="16"/>
      <c r="C80" s="16"/>
    </row>
    <row r="81" spans="1:3">
      <c r="A81" s="16"/>
      <c r="B81" s="16"/>
      <c r="C81" s="16"/>
    </row>
    <row r="82" spans="1:3">
      <c r="A82" s="16"/>
      <c r="B82" s="16"/>
      <c r="C82" s="16"/>
    </row>
    <row r="83" spans="1:3">
      <c r="A83" s="16"/>
      <c r="B83" s="16"/>
      <c r="C83" s="16"/>
    </row>
    <row r="84" spans="1:3">
      <c r="A84" s="16"/>
      <c r="B84" s="16"/>
      <c r="C84" s="16"/>
    </row>
    <row r="85" spans="1:3">
      <c r="A85" s="16"/>
      <c r="B85" s="16"/>
      <c r="C85" s="16"/>
    </row>
    <row r="86" spans="1:3">
      <c r="A86" s="16"/>
      <c r="B86" s="16"/>
      <c r="C86" s="16"/>
    </row>
    <row r="87" spans="1:3">
      <c r="A87" s="16"/>
      <c r="B87" s="16"/>
      <c r="C87" s="16"/>
    </row>
    <row r="88" spans="1:3">
      <c r="A88" s="16"/>
      <c r="B88" s="16"/>
      <c r="C88" s="16"/>
    </row>
    <row r="89" spans="1:3">
      <c r="A89" s="16"/>
      <c r="B89" s="16"/>
      <c r="C89" s="16"/>
    </row>
    <row r="90" spans="1:3">
      <c r="A90" s="16"/>
      <c r="B90" s="16"/>
      <c r="C90" s="16"/>
    </row>
    <row r="91" spans="1:3">
      <c r="A91" s="16"/>
      <c r="B91" s="16"/>
      <c r="C91" s="16"/>
    </row>
    <row r="92" spans="1:3">
      <c r="A92" s="16"/>
      <c r="B92" s="16"/>
      <c r="C92" s="16"/>
    </row>
    <row r="93" spans="1:3">
      <c r="A93" s="16"/>
      <c r="B93" s="16"/>
      <c r="C93" s="16"/>
    </row>
    <row r="94" spans="1:3">
      <c r="A94" s="16"/>
      <c r="B94" s="16"/>
      <c r="C94" s="16"/>
    </row>
    <row r="95" spans="1:3">
      <c r="A95" s="16"/>
      <c r="B95" s="16"/>
      <c r="C95" s="16"/>
    </row>
    <row r="96" spans="1:3">
      <c r="A96" s="16"/>
      <c r="B96" s="16"/>
      <c r="C96" s="16"/>
    </row>
    <row r="97" spans="1:3">
      <c r="A97" s="16"/>
      <c r="B97" s="16"/>
      <c r="C97" s="16"/>
    </row>
    <row r="98" spans="1:3">
      <c r="A98" s="16"/>
      <c r="B98" s="16"/>
      <c r="C98" s="16"/>
    </row>
    <row r="99" spans="1:3">
      <c r="A99" s="16"/>
      <c r="B99" s="16"/>
      <c r="C99" s="16"/>
    </row>
    <row r="100" spans="1:3">
      <c r="A100" s="16"/>
      <c r="B100" s="16"/>
      <c r="C100" s="16"/>
    </row>
    <row r="101" spans="1:3">
      <c r="A101" s="16"/>
      <c r="B101" s="16"/>
      <c r="C101" s="16"/>
    </row>
    <row r="102" spans="1:3">
      <c r="A102" s="16"/>
      <c r="B102" s="16"/>
      <c r="C102" s="16"/>
    </row>
    <row r="103" spans="1:3">
      <c r="A103" s="16"/>
      <c r="B103" s="16"/>
      <c r="C103" s="16"/>
    </row>
    <row r="104" spans="1:3">
      <c r="A104" s="16"/>
      <c r="B104" s="16"/>
      <c r="C104" s="16"/>
    </row>
    <row r="105" spans="1:3">
      <c r="A105" s="16"/>
      <c r="B105" s="16"/>
      <c r="C105" s="16"/>
    </row>
    <row r="106" spans="1:3">
      <c r="A106" s="16"/>
      <c r="B106" s="16"/>
      <c r="C106" s="16"/>
    </row>
    <row r="107" spans="1:3">
      <c r="A107" s="16"/>
      <c r="B107" s="16"/>
      <c r="C107" s="16"/>
    </row>
    <row r="108" spans="1:3">
      <c r="A108" s="16"/>
      <c r="B108" s="16"/>
      <c r="C108" s="16"/>
    </row>
    <row r="109" spans="1:3">
      <c r="A109" s="16"/>
      <c r="B109" s="16"/>
      <c r="C109" s="16"/>
    </row>
    <row r="110" spans="1:3">
      <c r="A110" s="16"/>
      <c r="B110" s="16"/>
      <c r="C110" s="16"/>
    </row>
    <row r="111" spans="1:3">
      <c r="A111" s="16"/>
      <c r="B111" s="16"/>
      <c r="C111" s="16"/>
    </row>
    <row r="112" spans="1:3">
      <c r="A112" s="16"/>
      <c r="B112" s="16"/>
      <c r="C112" s="16"/>
    </row>
    <row r="113" spans="1:3">
      <c r="A113" s="16"/>
      <c r="B113" s="16"/>
      <c r="C113" s="16"/>
    </row>
    <row r="114" spans="1:3">
      <c r="A114" s="16"/>
      <c r="B114" s="16"/>
      <c r="C114" s="16"/>
    </row>
    <row r="115" spans="1:3">
      <c r="A115" s="16"/>
      <c r="B115" s="16"/>
      <c r="C115" s="16"/>
    </row>
    <row r="116" spans="1:3">
      <c r="A116" s="16"/>
      <c r="B116" s="16"/>
      <c r="C116" s="16"/>
    </row>
    <row r="117" spans="1:3">
      <c r="A117" s="16"/>
      <c r="B117" s="16"/>
      <c r="C117" s="16"/>
    </row>
    <row r="118" spans="1:3">
      <c r="A118" s="16"/>
      <c r="B118" s="16"/>
      <c r="C118" s="16"/>
    </row>
    <row r="119" spans="1:3">
      <c r="A119" s="16"/>
      <c r="B119" s="16"/>
      <c r="C119" s="16"/>
    </row>
    <row r="120" spans="1:3">
      <c r="A120" s="16"/>
      <c r="B120" s="16"/>
      <c r="C120" s="16"/>
    </row>
    <row r="121" spans="1:3">
      <c r="A121" s="16"/>
      <c r="B121" s="16"/>
      <c r="C121" s="16"/>
    </row>
    <row r="122" spans="1:3">
      <c r="A122" s="16"/>
      <c r="B122" s="16"/>
      <c r="C122" s="16"/>
    </row>
    <row r="123" spans="1:3">
      <c r="A123" s="16"/>
      <c r="B123" s="16"/>
      <c r="C123" s="16"/>
    </row>
    <row r="124" spans="1:3">
      <c r="A124" s="16"/>
      <c r="B124" s="16"/>
      <c r="C124" s="16"/>
    </row>
    <row r="125" spans="1:3">
      <c r="A125" s="16"/>
      <c r="B125" s="16"/>
      <c r="C125" s="16"/>
    </row>
    <row r="126" spans="1:3">
      <c r="A126" s="16"/>
      <c r="B126" s="16"/>
      <c r="C126" s="16"/>
    </row>
    <row r="127" spans="1:3">
      <c r="A127" s="16"/>
      <c r="B127" s="16"/>
      <c r="C127" s="16"/>
    </row>
    <row r="128" spans="1:3">
      <c r="A128" s="16"/>
      <c r="B128" s="16"/>
      <c r="C128" s="16"/>
    </row>
    <row r="129" spans="1:3">
      <c r="A129" s="16"/>
      <c r="B129" s="16"/>
      <c r="C129" s="16"/>
    </row>
    <row r="130" spans="1:3">
      <c r="A130" s="16"/>
      <c r="B130" s="16"/>
      <c r="C130" s="16"/>
    </row>
    <row r="131" spans="1:3">
      <c r="A131" s="16"/>
      <c r="B131" s="16"/>
      <c r="C131" s="16"/>
    </row>
    <row r="132" spans="1:3">
      <c r="A132" s="16"/>
      <c r="B132" s="16"/>
      <c r="C132" s="16"/>
    </row>
    <row r="133" spans="1:3">
      <c r="A133" s="16"/>
      <c r="B133" s="16"/>
      <c r="C133" s="16"/>
    </row>
    <row r="134" spans="1:3">
      <c r="A134" s="16"/>
      <c r="B134" s="16"/>
      <c r="C134" s="16"/>
    </row>
    <row r="135" spans="1:3">
      <c r="A135" s="16"/>
      <c r="B135" s="16"/>
      <c r="C135" s="16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9"/>
  <sheetViews>
    <sheetView zoomScaleNormal="100" workbookViewId="0">
      <selection activeCell="B7" sqref="B7"/>
    </sheetView>
  </sheetViews>
  <sheetFormatPr defaultColWidth="8.7109375" defaultRowHeight="12.75"/>
  <cols>
    <col min="1" max="1" width="48" customWidth="1"/>
    <col min="2" max="2" width="52" customWidth="1"/>
  </cols>
  <sheetData>
    <row r="1" spans="1:2" ht="27.75" customHeight="1">
      <c r="A1" s="53" t="s">
        <v>324</v>
      </c>
      <c r="B1" s="53"/>
    </row>
    <row r="2" spans="1:2" ht="15" customHeight="1">
      <c r="A2" s="54" t="s">
        <v>325</v>
      </c>
      <c r="B2" s="54"/>
    </row>
    <row r="3" spans="1:2" ht="15">
      <c r="A3" s="20" t="s">
        <v>326</v>
      </c>
      <c r="B3" s="20" t="s">
        <v>327</v>
      </c>
    </row>
    <row r="4" spans="1:2" ht="45" customHeight="1">
      <c r="A4" s="22" t="s">
        <v>328</v>
      </c>
      <c r="B4" s="23">
        <f>'Core Analysis'!B6</f>
        <v>180</v>
      </c>
    </row>
    <row r="5" spans="1:2" ht="45" customHeight="1">
      <c r="A5" s="22" t="s">
        <v>329</v>
      </c>
      <c r="B5" s="24" t="str">
        <f>"12 categories; largest: "&amp;'Core Analysis'!A17&amp;" ("&amp;'Core Analysis'!B17&amp;"), "&amp;'Core Analysis'!A18&amp;" ("&amp;'Core Analysis'!B18&amp;"). Full table: Core_Analysis section 1"</f>
        <v>12 categories; largest: Malware (28), Phishing (28). Full table: Core_Analysis section 1</v>
      </c>
    </row>
    <row r="6" spans="1:2" ht="45" customHeight="1">
      <c r="A6" s="22" t="s">
        <v>330</v>
      </c>
      <c r="B6" s="24" t="str">
        <f>"Critical "&amp;TEXT('Core Analysis'!C54,"0.00")&amp;" | High "&amp;TEXT('Core Analysis'!C55,"0.00")&amp;" | Medium "&amp;TEXT('Core Analysis'!C56,"0.00")&amp;" | Low "&amp;TEXT('Core Analysis'!C57,"0.00")&amp;" days (Core_Analysis section 4)"</f>
        <v>Critical 9.80 | High 12.72 | Medium 14.74 | Low 18.15 days (Core_Analysis section 4)</v>
      </c>
    </row>
    <row r="7" spans="1:2" ht="45" customHeight="1">
      <c r="A7" s="22" t="s">
        <v>331</v>
      </c>
      <c r="B7" s="24" t="str">
        <f>"Highest: "&amp;'Core Analysis'!A62&amp;" "&amp;TEXT('Core Analysis'!C62,"$#,##0")&amp;". Full table: Core Analysis_Template!C20Analysis section 5"</f>
        <v>Highest: Finance $1,756,282. Full table: Core Analysis_Template!C20Analysis section 5</v>
      </c>
    </row>
    <row r="8" spans="1:2" ht="45" customHeight="1">
      <c r="A8" s="22" t="s">
        <v>332</v>
      </c>
      <c r="B8" s="24" t="str">
        <f>"Highest: "&amp;'Core Analysis'!A75&amp;" "&amp;TEXT('Core Analysis'!C75,"$#,##0")&amp;". Full table: Core_Analysis section 6"</f>
        <v>Highest: Compliance $2,836,299. Full table: Core_Analysis section 6</v>
      </c>
    </row>
    <row r="9" spans="1:2" ht="45" customHeight="1">
      <c r="A9" s="22" t="s">
        <v>333</v>
      </c>
      <c r="B9" s="24" t="str">
        <f>'Core Analysis'!B48&amp;" ("&amp;TEXT('Core Analysis'!C48,"$#,##0")&amp;"); "&amp;'Core Analysis'!B49&amp;" ("&amp;TEXT('Core Analysis'!C49,"$#,##0")&amp;"); "&amp;'Core Analysis'!B50&amp;" ("&amp;TEXT('Core Analysis'!C50,"$#,##0")&amp;")"</f>
        <v>Insider Threat ($138,506); Cloud Exposure ($94,846); Third-Party Breach ($92,888)</v>
      </c>
    </row>
    <row r="10" spans="1:2" ht="45" customHeight="1">
      <c r="A10" s="22" t="s">
        <v>334</v>
      </c>
      <c r="B10" s="24" t="str">
        <f>TEXT('Core Analysis'!B10,"0.00%")&amp;" ("&amp;'Core Analysis'!B9&amp;" of "&amp;'Core Analysis'!B6&amp;")"</f>
        <v>25.56% (46 of 180)</v>
      </c>
    </row>
    <row r="11" spans="1:2" ht="45" customHeight="1">
      <c r="A11" s="22" t="s">
        <v>335</v>
      </c>
      <c r="B11" s="24" t="s">
        <v>336</v>
      </c>
    </row>
    <row r="12" spans="1:2" ht="45" customHeight="1">
      <c r="A12" s="22" t="s">
        <v>337</v>
      </c>
      <c r="B12" s="24" t="s">
        <v>338</v>
      </c>
    </row>
    <row r="13" spans="1:2" ht="45" customHeight="1">
      <c r="A13" s="22" t="s">
        <v>339</v>
      </c>
      <c r="B13" s="24" t="s">
        <v>340</v>
      </c>
    </row>
    <row r="14" spans="1:2" ht="45" customHeight="1">
      <c r="A14" s="22" t="s">
        <v>341</v>
      </c>
      <c r="B14" s="24" t="str">
        <f>CISO_Board_Insights!B5</f>
        <v>Critical and High severity incidents frequently miss their SLA targets.</v>
      </c>
    </row>
    <row r="15" spans="1:2" ht="45" customHeight="1">
      <c r="A15" s="22" t="s">
        <v>342</v>
      </c>
      <c r="B15" s="24" t="str">
        <f>CISO_Board_Insights!F5</f>
        <v>Review SLA targets and the escalation process for Critical and High incidents; use a dashboard that automatically escalates cases approaching their SLA limit.</v>
      </c>
    </row>
    <row r="16" spans="1:2" ht="45" customHeight="1">
      <c r="A16" s="22" t="s">
        <v>343</v>
      </c>
      <c r="B16" s="24" t="str">
        <f>CISO_Board_Insights!B6</f>
        <v>Insider Threat is infrequent but has the highest average cost.</v>
      </c>
    </row>
    <row r="17" spans="1:2" ht="45" customHeight="1">
      <c r="A17" s="22" t="s">
        <v>344</v>
      </c>
      <c r="B17" s="24" t="str">
        <f>CISO_Board_Insights!F6</f>
        <v>Strengthen privileged access reviews, add monitoring of unusual user activity, and connect the HR termination process to IAM so access is removed quickly.</v>
      </c>
    </row>
    <row r="18" spans="1:2" ht="45" customHeight="1">
      <c r="A18" s="22" t="s">
        <v>345</v>
      </c>
      <c r="B18" s="24" t="str">
        <f>CISO_Board_Insights!B7</f>
        <v>Identity and Access Management has the most incidents of any control domain.</v>
      </c>
    </row>
    <row r="19" spans="1:2" ht="45" customHeight="1">
      <c r="A19" s="22" t="s">
        <v>346</v>
      </c>
      <c r="B19" s="24" t="str">
        <f>CISO_Board_Insights!F7</f>
        <v>Implement or strengthen Privileged Access Management, enforce phishing-resistant MFA for privileged accounts and sensitive help-desk actions, and run quarterly privileged-access reviews.</v>
      </c>
    </row>
  </sheetData>
  <mergeCells count="2">
    <mergeCell ref="A1:B1"/>
    <mergeCell ref="A2:B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showGridLines="0" zoomScaleNormal="100" workbookViewId="0">
      <selection activeCell="F8" sqref="F8"/>
    </sheetView>
  </sheetViews>
  <sheetFormatPr defaultColWidth="8.7109375" defaultRowHeight="12.75"/>
  <cols>
    <col min="1" max="1" width="38" customWidth="1"/>
    <col min="2" max="2" width="16" customWidth="1"/>
    <col min="3" max="4" width="18" customWidth="1"/>
    <col min="5" max="6" width="16" customWidth="1"/>
  </cols>
  <sheetData>
    <row r="1" spans="1:3" ht="18">
      <c r="A1" s="1" t="s">
        <v>347</v>
      </c>
    </row>
    <row r="2" spans="1:3">
      <c r="A2" s="2" t="s">
        <v>348</v>
      </c>
    </row>
    <row r="4" spans="1:3" ht="15">
      <c r="A4" s="3" t="s">
        <v>349</v>
      </c>
    </row>
    <row r="5" spans="1:3">
      <c r="A5" s="4" t="s">
        <v>350</v>
      </c>
      <c r="B5" s="4" t="s">
        <v>351</v>
      </c>
      <c r="C5" s="4" t="s">
        <v>352</v>
      </c>
    </row>
    <row r="6" spans="1:3">
      <c r="A6" s="5" t="s">
        <v>328</v>
      </c>
      <c r="B6" s="6">
        <f>COUNTA(Incident_Data!$A$2:$A$181)</f>
        <v>180</v>
      </c>
      <c r="C6" s="5" t="s">
        <v>353</v>
      </c>
    </row>
    <row r="7" spans="1:3">
      <c r="A7" s="5" t="s">
        <v>354</v>
      </c>
      <c r="B7" s="6">
        <f>COUNTIF(Incident_Data!$E$2:$E$181,"Open")</f>
        <v>23</v>
      </c>
      <c r="C7" s="5" t="s">
        <v>355</v>
      </c>
    </row>
    <row r="8" spans="1:3">
      <c r="A8" s="5" t="s">
        <v>356</v>
      </c>
      <c r="B8" s="6">
        <f>COUNTIF(Incident_Data!$E$2:$E$181,"In Progress")</f>
        <v>23</v>
      </c>
      <c r="C8" s="5" t="s">
        <v>355</v>
      </c>
    </row>
    <row r="9" spans="1:3">
      <c r="A9" s="5" t="s">
        <v>357</v>
      </c>
      <c r="B9" s="6">
        <f>B7+B8</f>
        <v>46</v>
      </c>
      <c r="C9" s="5" t="s">
        <v>358</v>
      </c>
    </row>
    <row r="10" spans="1:3">
      <c r="A10" s="5" t="s">
        <v>359</v>
      </c>
      <c r="B10" s="7">
        <f>B9/B6</f>
        <v>0.25555555555555554</v>
      </c>
      <c r="C10" s="5" t="s">
        <v>360</v>
      </c>
    </row>
    <row r="11" spans="1:3">
      <c r="A11" s="5" t="s">
        <v>361</v>
      </c>
      <c r="B11" s="8">
        <f>SUM(Incident_Data!$I$2:$I$181)</f>
        <v>10293422</v>
      </c>
      <c r="C11" s="5" t="s">
        <v>362</v>
      </c>
    </row>
    <row r="12" spans="1:3">
      <c r="A12" s="5" t="s">
        <v>363</v>
      </c>
      <c r="B12" s="8">
        <f>B11/B6</f>
        <v>57185.677777777775</v>
      </c>
      <c r="C12" s="5" t="s">
        <v>364</v>
      </c>
    </row>
    <row r="15" spans="1:3" ht="15">
      <c r="A15" s="3" t="s">
        <v>365</v>
      </c>
    </row>
    <row r="16" spans="1:3" ht="31.5" customHeight="1">
      <c r="A16" s="9" t="s">
        <v>2</v>
      </c>
      <c r="B16" s="9" t="s">
        <v>366</v>
      </c>
      <c r="C16" s="9" t="s">
        <v>367</v>
      </c>
    </row>
    <row r="17" spans="1:5">
      <c r="A17" s="5" t="s">
        <v>17</v>
      </c>
      <c r="B17" s="6">
        <f>COUNTIF(Incident_Data!$C$2:$C$181,A17)</f>
        <v>28</v>
      </c>
      <c r="C17" s="7">
        <f t="shared" ref="C17:C28" si="0">B17/$B$6</f>
        <v>0.15555555555555556</v>
      </c>
    </row>
    <row r="18" spans="1:5">
      <c r="A18" s="5" t="s">
        <v>55</v>
      </c>
      <c r="B18" s="6">
        <f>COUNTIF(Incident_Data!$C$2:$C$181,A18)</f>
        <v>28</v>
      </c>
      <c r="C18" s="7">
        <f t="shared" si="0"/>
        <v>0.15555555555555556</v>
      </c>
    </row>
    <row r="19" spans="1:5">
      <c r="A19" s="5" t="s">
        <v>68</v>
      </c>
      <c r="B19" s="6">
        <f>COUNTIF(Incident_Data!$C$2:$C$181,A19)</f>
        <v>27</v>
      </c>
      <c r="C19" s="7">
        <f t="shared" si="0"/>
        <v>0.15</v>
      </c>
    </row>
    <row r="20" spans="1:5">
      <c r="A20" s="5" t="s">
        <v>60</v>
      </c>
      <c r="B20" s="6">
        <f>COUNTIF(Incident_Data!$C$2:$C$181,A20)</f>
        <v>24</v>
      </c>
      <c r="C20" s="7">
        <f t="shared" si="0"/>
        <v>0.13333333333333333</v>
      </c>
    </row>
    <row r="21" spans="1:5">
      <c r="A21" s="5" t="s">
        <v>29</v>
      </c>
      <c r="B21" s="6">
        <f>COUNTIF(Incident_Data!$C$2:$C$181,A21)</f>
        <v>19</v>
      </c>
      <c r="C21" s="7">
        <f t="shared" si="0"/>
        <v>0.10555555555555556</v>
      </c>
    </row>
    <row r="22" spans="1:5">
      <c r="A22" s="5" t="s">
        <v>46</v>
      </c>
      <c r="B22" s="6">
        <f>COUNTIF(Incident_Data!$C$2:$C$181,A22)</f>
        <v>19</v>
      </c>
      <c r="C22" s="7">
        <f t="shared" si="0"/>
        <v>0.10555555555555556</v>
      </c>
    </row>
    <row r="23" spans="1:5">
      <c r="A23" s="5" t="s">
        <v>224</v>
      </c>
      <c r="B23" s="6">
        <f>COUNTIF(Incident_Data!$C$2:$C$181,A23)</f>
        <v>11</v>
      </c>
      <c r="C23" s="7">
        <f t="shared" si="0"/>
        <v>6.1111111111111109E-2</v>
      </c>
    </row>
    <row r="24" spans="1:5">
      <c r="A24" s="5" t="s">
        <v>203</v>
      </c>
      <c r="B24" s="6">
        <f>COUNTIF(Incident_Data!$C$2:$C$181,A24)</f>
        <v>9</v>
      </c>
      <c r="C24" s="7">
        <f t="shared" si="0"/>
        <v>0.05</v>
      </c>
    </row>
    <row r="25" spans="1:5">
      <c r="A25" s="5" t="s">
        <v>185</v>
      </c>
      <c r="B25" s="6">
        <f>COUNTIF(Incident_Data!$C$2:$C$181,A25)</f>
        <v>6</v>
      </c>
      <c r="C25" s="7">
        <f t="shared" si="0"/>
        <v>3.3333333333333333E-2</v>
      </c>
    </row>
    <row r="26" spans="1:5">
      <c r="A26" s="5" t="s">
        <v>194</v>
      </c>
      <c r="B26" s="6">
        <f>COUNTIF(Incident_Data!$C$2:$C$181,A26)</f>
        <v>5</v>
      </c>
      <c r="C26" s="7">
        <f t="shared" si="0"/>
        <v>2.7777777777777776E-2</v>
      </c>
    </row>
    <row r="27" spans="1:5">
      <c r="A27" s="5" t="s">
        <v>179</v>
      </c>
      <c r="B27" s="6">
        <f>COUNTIF(Incident_Data!$C$2:$C$181,A27)</f>
        <v>3</v>
      </c>
      <c r="C27" s="7">
        <f t="shared" si="0"/>
        <v>1.6666666666666666E-2</v>
      </c>
    </row>
    <row r="28" spans="1:5">
      <c r="A28" s="5" t="s">
        <v>268</v>
      </c>
      <c r="B28" s="6">
        <f>COUNTIF(Incident_Data!$C$2:$C$181,A28)</f>
        <v>1</v>
      </c>
      <c r="C28" s="7">
        <f t="shared" si="0"/>
        <v>5.5555555555555558E-3</v>
      </c>
    </row>
    <row r="29" spans="1:5">
      <c r="A29" s="10" t="s">
        <v>368</v>
      </c>
      <c r="B29" s="11">
        <f>SUM(B17:B28)</f>
        <v>180</v>
      </c>
      <c r="C29" s="12">
        <f>SUM(C17:C28)</f>
        <v>1</v>
      </c>
    </row>
    <row r="31" spans="1:5" ht="15">
      <c r="A31" s="3" t="s">
        <v>369</v>
      </c>
    </row>
    <row r="32" spans="1:5" ht="31.5" customHeight="1">
      <c r="A32" s="9" t="s">
        <v>2</v>
      </c>
      <c r="B32" s="9" t="s">
        <v>370</v>
      </c>
      <c r="C32" s="9" t="s">
        <v>371</v>
      </c>
      <c r="D32" s="9" t="s">
        <v>372</v>
      </c>
      <c r="E32" s="9" t="s">
        <v>373</v>
      </c>
    </row>
    <row r="33" spans="1:5">
      <c r="A33" s="5" t="s">
        <v>194</v>
      </c>
      <c r="B33" s="6">
        <f>COUNTIF(Incident_Data!$C$2:$C$181,A33)</f>
        <v>5</v>
      </c>
      <c r="C33" s="8">
        <f>AVERAGEIF(Incident_Data!$C$2:$C$181,A33,Incident_Data!$I$2:$I$181)</f>
        <v>138506</v>
      </c>
      <c r="D33" s="8">
        <f>SUMIF(Incident_Data!$C$2:$C$181,A33,Incident_Data!$I$2:$I$181)</f>
        <v>692530</v>
      </c>
      <c r="E33" s="6">
        <f t="shared" ref="E33:E44" si="1">RANK(C33,$C$33:$C$44)</f>
        <v>1</v>
      </c>
    </row>
    <row r="34" spans="1:5">
      <c r="A34" s="5" t="s">
        <v>224</v>
      </c>
      <c r="B34" s="6">
        <f>COUNTIF(Incident_Data!$C$2:$C$181,A34)</f>
        <v>11</v>
      </c>
      <c r="C34" s="8">
        <f>AVERAGEIF(Incident_Data!$C$2:$C$181,A34,Incident_Data!$I$2:$I$181)</f>
        <v>94846.363636363632</v>
      </c>
      <c r="D34" s="8">
        <f>SUMIF(Incident_Data!$C$2:$C$181,A34,Incident_Data!$I$2:$I$181)</f>
        <v>1043310</v>
      </c>
      <c r="E34" s="6">
        <f t="shared" si="1"/>
        <v>2</v>
      </c>
    </row>
    <row r="35" spans="1:5">
      <c r="A35" s="5" t="s">
        <v>185</v>
      </c>
      <c r="B35" s="6">
        <f>COUNTIF(Incident_Data!$C$2:$C$181,A35)</f>
        <v>6</v>
      </c>
      <c r="C35" s="8">
        <f>AVERAGEIF(Incident_Data!$C$2:$C$181,A35,Incident_Data!$I$2:$I$181)</f>
        <v>92888.333333333328</v>
      </c>
      <c r="D35" s="8">
        <f>SUMIF(Incident_Data!$C$2:$C$181,A35,Incident_Data!$I$2:$I$181)</f>
        <v>557330</v>
      </c>
      <c r="E35" s="6">
        <f t="shared" si="1"/>
        <v>3</v>
      </c>
    </row>
    <row r="36" spans="1:5">
      <c r="A36" s="5" t="s">
        <v>60</v>
      </c>
      <c r="B36" s="6">
        <f>COUNTIF(Incident_Data!$C$2:$C$181,A36)</f>
        <v>24</v>
      </c>
      <c r="C36" s="8">
        <f>AVERAGEIF(Incident_Data!$C$2:$C$181,A36,Incident_Data!$I$2:$I$181)</f>
        <v>59281.208333333336</v>
      </c>
      <c r="D36" s="8">
        <f>SUMIF(Incident_Data!$C$2:$C$181,A36,Incident_Data!$I$2:$I$181)</f>
        <v>1422749</v>
      </c>
      <c r="E36" s="6">
        <f t="shared" si="1"/>
        <v>4</v>
      </c>
    </row>
    <row r="37" spans="1:5">
      <c r="A37" s="5" t="s">
        <v>203</v>
      </c>
      <c r="B37" s="6">
        <f>COUNTIF(Incident_Data!$C$2:$C$181,A37)</f>
        <v>9</v>
      </c>
      <c r="C37" s="8">
        <f>AVERAGEIF(Incident_Data!$C$2:$C$181,A37,Incident_Data!$I$2:$I$181)</f>
        <v>56635.555555555555</v>
      </c>
      <c r="D37" s="8">
        <f>SUMIF(Incident_Data!$C$2:$C$181,A37,Incident_Data!$I$2:$I$181)</f>
        <v>509720</v>
      </c>
      <c r="E37" s="6">
        <f t="shared" si="1"/>
        <v>5</v>
      </c>
    </row>
    <row r="38" spans="1:5">
      <c r="A38" s="5" t="s">
        <v>46</v>
      </c>
      <c r="B38" s="6">
        <f>COUNTIF(Incident_Data!$C$2:$C$181,A38)</f>
        <v>19</v>
      </c>
      <c r="C38" s="8">
        <f>AVERAGEIF(Incident_Data!$C$2:$C$181,A38,Incident_Data!$I$2:$I$181)</f>
        <v>55859.42105263158</v>
      </c>
      <c r="D38" s="8">
        <f>SUMIF(Incident_Data!$C$2:$C$181,A38,Incident_Data!$I$2:$I$181)</f>
        <v>1061329</v>
      </c>
      <c r="E38" s="6">
        <f t="shared" si="1"/>
        <v>6</v>
      </c>
    </row>
    <row r="39" spans="1:5">
      <c r="A39" s="5" t="s">
        <v>17</v>
      </c>
      <c r="B39" s="6">
        <f>COUNTIF(Incident_Data!$C$2:$C$181,A39)</f>
        <v>28</v>
      </c>
      <c r="C39" s="8">
        <f>AVERAGEIF(Incident_Data!$C$2:$C$181,A39,Incident_Data!$I$2:$I$181)</f>
        <v>54576.178571428572</v>
      </c>
      <c r="D39" s="8">
        <f>SUMIF(Incident_Data!$C$2:$C$181,A39,Incident_Data!$I$2:$I$181)</f>
        <v>1528133</v>
      </c>
      <c r="E39" s="6">
        <f t="shared" si="1"/>
        <v>7</v>
      </c>
    </row>
    <row r="40" spans="1:5">
      <c r="A40" s="5" t="s">
        <v>68</v>
      </c>
      <c r="B40" s="6">
        <f>COUNTIF(Incident_Data!$C$2:$C$181,A40)</f>
        <v>27</v>
      </c>
      <c r="C40" s="8">
        <f>AVERAGEIF(Incident_Data!$C$2:$C$181,A40,Incident_Data!$I$2:$I$181)</f>
        <v>53801.370370370372</v>
      </c>
      <c r="D40" s="8">
        <f>SUMIF(Incident_Data!$C$2:$C$181,A40,Incident_Data!$I$2:$I$181)</f>
        <v>1452637</v>
      </c>
      <c r="E40" s="6">
        <f t="shared" si="1"/>
        <v>8</v>
      </c>
    </row>
    <row r="41" spans="1:5">
      <c r="A41" s="5" t="s">
        <v>29</v>
      </c>
      <c r="B41" s="6">
        <f>COUNTIF(Incident_Data!$C$2:$C$181,A41)</f>
        <v>19</v>
      </c>
      <c r="C41" s="8">
        <f>AVERAGEIF(Incident_Data!$C$2:$C$181,A41,Incident_Data!$I$2:$I$181)</f>
        <v>46318.052631578947</v>
      </c>
      <c r="D41" s="8">
        <f>SUMIF(Incident_Data!$C$2:$C$181,A41,Incident_Data!$I$2:$I$181)</f>
        <v>880043</v>
      </c>
      <c r="E41" s="6">
        <f t="shared" si="1"/>
        <v>9</v>
      </c>
    </row>
    <row r="42" spans="1:5">
      <c r="A42" s="5" t="s">
        <v>55</v>
      </c>
      <c r="B42" s="6">
        <f>COUNTIF(Incident_Data!$C$2:$C$181,A42)</f>
        <v>28</v>
      </c>
      <c r="C42" s="8">
        <f>AVERAGEIF(Incident_Data!$C$2:$C$181,A42,Incident_Data!$I$2:$I$181)</f>
        <v>38061.821428571428</v>
      </c>
      <c r="D42" s="8">
        <f>SUMIF(Incident_Data!$C$2:$C$181,A42,Incident_Data!$I$2:$I$181)</f>
        <v>1065731</v>
      </c>
      <c r="E42" s="6">
        <f t="shared" si="1"/>
        <v>10</v>
      </c>
    </row>
    <row r="43" spans="1:5">
      <c r="A43" s="5" t="s">
        <v>179</v>
      </c>
      <c r="B43" s="6">
        <f>COUNTIF(Incident_Data!$C$2:$C$181,A43)</f>
        <v>3</v>
      </c>
      <c r="C43" s="8">
        <f>AVERAGEIF(Incident_Data!$C$2:$C$181,A43,Incident_Data!$I$2:$I$181)</f>
        <v>20836.666666666668</v>
      </c>
      <c r="D43" s="8">
        <f>SUMIF(Incident_Data!$C$2:$C$181,A43,Incident_Data!$I$2:$I$181)</f>
        <v>62510</v>
      </c>
      <c r="E43" s="6">
        <f t="shared" si="1"/>
        <v>11</v>
      </c>
    </row>
    <row r="44" spans="1:5">
      <c r="A44" s="5" t="s">
        <v>268</v>
      </c>
      <c r="B44" s="6">
        <f>COUNTIF(Incident_Data!$C$2:$C$181,A44)</f>
        <v>1</v>
      </c>
      <c r="C44" s="8">
        <f>AVERAGEIF(Incident_Data!$C$2:$C$181,A44,Incident_Data!$I$2:$I$181)</f>
        <v>17400</v>
      </c>
      <c r="D44" s="8">
        <f>SUMIF(Incident_Data!$C$2:$C$181,A44,Incident_Data!$I$2:$I$181)</f>
        <v>17400</v>
      </c>
      <c r="E44" s="6">
        <f t="shared" si="1"/>
        <v>12</v>
      </c>
    </row>
    <row r="46" spans="1:5" ht="15">
      <c r="A46" s="3" t="s">
        <v>374</v>
      </c>
    </row>
    <row r="47" spans="1:5" ht="31.5" customHeight="1">
      <c r="A47" s="9" t="s">
        <v>375</v>
      </c>
      <c r="B47" s="9" t="s">
        <v>2</v>
      </c>
      <c r="C47" s="9" t="s">
        <v>371</v>
      </c>
    </row>
    <row r="48" spans="1:5">
      <c r="A48" s="6">
        <v>1</v>
      </c>
      <c r="B48" s="5" t="str">
        <f>INDEX($A$33:$A$44,MATCH(C48,$C$33:$C$44,0))</f>
        <v>Insider Threat</v>
      </c>
      <c r="C48" s="8">
        <f>LARGE($C$33:$C$44,A48)</f>
        <v>138506</v>
      </c>
    </row>
    <row r="49" spans="1:6">
      <c r="A49" s="6">
        <v>2</v>
      </c>
      <c r="B49" s="5" t="str">
        <f>INDEX($A$33:$A$44,MATCH(C49,$C$33:$C$44,0))</f>
        <v>Cloud Exposure</v>
      </c>
      <c r="C49" s="8">
        <f>LARGE($C$33:$C$44,A49)</f>
        <v>94846.363636363632</v>
      </c>
    </row>
    <row r="50" spans="1:6">
      <c r="A50" s="6">
        <v>3</v>
      </c>
      <c r="B50" s="5" t="str">
        <f>INDEX($A$33:$A$44,MATCH(C50,$C$33:$C$44,0))</f>
        <v>Third-Party Breach</v>
      </c>
      <c r="C50" s="8">
        <f>LARGE($C$33:$C$44,A50)</f>
        <v>92888.333333333328</v>
      </c>
    </row>
    <row r="52" spans="1:6" ht="15">
      <c r="A52" s="3" t="s">
        <v>376</v>
      </c>
    </row>
    <row r="53" spans="1:6" ht="31.5" customHeight="1">
      <c r="A53" s="9" t="s">
        <v>3</v>
      </c>
      <c r="B53" s="9" t="s">
        <v>370</v>
      </c>
      <c r="C53" s="9" t="s">
        <v>377</v>
      </c>
      <c r="D53" s="9" t="s">
        <v>378</v>
      </c>
      <c r="E53" s="9" t="s">
        <v>379</v>
      </c>
      <c r="F53" s="9" t="s">
        <v>372</v>
      </c>
    </row>
    <row r="54" spans="1:6">
      <c r="A54" s="5" t="s">
        <v>89</v>
      </c>
      <c r="B54" s="6">
        <f>COUNTIF(Incident_Data!$D$2:$D$181,A54)</f>
        <v>20</v>
      </c>
      <c r="C54" s="13">
        <f>AVERAGEIF(Incident_Data!$D$2:$D$181,A54,Incident_Data!$H$2:$H$181)</f>
        <v>9.8000000000000007</v>
      </c>
      <c r="D54" s="13">
        <f>AVERAGEIFS(Incident_Data!$H$2:$H$181,Incident_Data!$D$2:$D$181,A54,Incident_Data!$E$2:$E$181,"Closed")</f>
        <v>10.823529411764707</v>
      </c>
      <c r="E54" s="6">
        <f>AVERAGEIF(Incident_Data!$D$2:$D$181,A54,Incident_Data!$O$2:$O$181)</f>
        <v>3</v>
      </c>
      <c r="F54" s="8">
        <f>SUMIF(Incident_Data!$D$2:$D$181,A54,Incident_Data!$I$2:$I$181)</f>
        <v>1817520</v>
      </c>
    </row>
    <row r="55" spans="1:6">
      <c r="A55" s="5" t="s">
        <v>30</v>
      </c>
      <c r="B55" s="6">
        <f>COUNTIF(Incident_Data!$D$2:$D$181,A55)</f>
        <v>53</v>
      </c>
      <c r="C55" s="13">
        <f>AVERAGEIF(Incident_Data!$D$2:$D$181,A55,Incident_Data!$H$2:$H$181)</f>
        <v>12.716981132075471</v>
      </c>
      <c r="D55" s="13">
        <f>AVERAGEIFS(Incident_Data!$H$2:$H$181,Incident_Data!$D$2:$D$181,A55,Incident_Data!$E$2:$E$181,"Closed")</f>
        <v>10.882352941176471</v>
      </c>
      <c r="E55" s="6">
        <f>AVERAGEIF(Incident_Data!$D$2:$D$181,A55,Incident_Data!$O$2:$O$181)</f>
        <v>7</v>
      </c>
      <c r="F55" s="8">
        <f>SUMIF(Incident_Data!$D$2:$D$181,A55,Incident_Data!$I$2:$I$181)</f>
        <v>3410772</v>
      </c>
    </row>
    <row r="56" spans="1:6">
      <c r="A56" s="5" t="s">
        <v>18</v>
      </c>
      <c r="B56" s="6">
        <f>COUNTIF(Incident_Data!$D$2:$D$181,A56)</f>
        <v>80</v>
      </c>
      <c r="C56" s="13">
        <f>AVERAGEIF(Incident_Data!$D$2:$D$181,A56,Incident_Data!$H$2:$H$181)</f>
        <v>14.737500000000001</v>
      </c>
      <c r="D56" s="13">
        <f>AVERAGEIFS(Incident_Data!$H$2:$H$181,Incident_Data!$D$2:$D$181,A56,Incident_Data!$E$2:$E$181,"Closed")</f>
        <v>12.530612244897959</v>
      </c>
      <c r="E56" s="6">
        <f>AVERAGEIF(Incident_Data!$D$2:$D$181,A56,Incident_Data!$O$2:$O$181)</f>
        <v>14</v>
      </c>
      <c r="F56" s="8">
        <f>SUMIF(Incident_Data!$D$2:$D$181,A56,Incident_Data!$I$2:$I$181)</f>
        <v>4021396</v>
      </c>
    </row>
    <row r="57" spans="1:6">
      <c r="A57" s="5" t="s">
        <v>51</v>
      </c>
      <c r="B57" s="6">
        <f>COUNTIF(Incident_Data!$D$2:$D$181,A57)</f>
        <v>27</v>
      </c>
      <c r="C57" s="13">
        <f>AVERAGEIF(Incident_Data!$D$2:$D$181,A57,Incident_Data!$H$2:$H$181)</f>
        <v>18.148148148148149</v>
      </c>
      <c r="D57" s="13">
        <f>AVERAGEIFS(Incident_Data!$H$2:$H$181,Incident_Data!$D$2:$D$181,A57,Incident_Data!$E$2:$E$181,"Closed")</f>
        <v>15.941176470588236</v>
      </c>
      <c r="E57" s="6">
        <f>AVERAGEIF(Incident_Data!$D$2:$D$181,A57,Incident_Data!$O$2:$O$181)</f>
        <v>30</v>
      </c>
      <c r="F57" s="8">
        <f>SUMIF(Incident_Data!$D$2:$D$181,A57,Incident_Data!$I$2:$I$181)</f>
        <v>1043734</v>
      </c>
    </row>
    <row r="58" spans="1:6">
      <c r="A58" s="2" t="s">
        <v>380</v>
      </c>
    </row>
    <row r="60" spans="1:6" ht="15">
      <c r="A60" s="3" t="s">
        <v>381</v>
      </c>
    </row>
    <row r="61" spans="1:6" ht="31.5" customHeight="1">
      <c r="A61" s="9" t="s">
        <v>5</v>
      </c>
      <c r="B61" s="9" t="s">
        <v>370</v>
      </c>
      <c r="C61" s="9" t="s">
        <v>372</v>
      </c>
      <c r="D61" s="9" t="s">
        <v>382</v>
      </c>
    </row>
    <row r="62" spans="1:6">
      <c r="A62" s="5" t="s">
        <v>32</v>
      </c>
      <c r="B62" s="6">
        <f>COUNTIF(Incident_Data!$F$2:$F$181,A62)</f>
        <v>33</v>
      </c>
      <c r="C62" s="8">
        <f>SUMIF(Incident_Data!$F$2:$F$181,A62,Incident_Data!$I$2:$I$181)</f>
        <v>1756282</v>
      </c>
      <c r="D62" s="7">
        <f t="shared" ref="D62:D70" si="2">C62/$B$11</f>
        <v>0.17062178156107852</v>
      </c>
    </row>
    <row r="63" spans="1:6">
      <c r="A63" s="5" t="s">
        <v>72</v>
      </c>
      <c r="B63" s="6">
        <f>COUNTIF(Incident_Data!$F$2:$F$181,A63)</f>
        <v>30</v>
      </c>
      <c r="C63" s="8">
        <f>SUMIF(Incident_Data!$F$2:$F$181,A63,Incident_Data!$I$2:$I$181)</f>
        <v>1725965</v>
      </c>
      <c r="D63" s="7">
        <f t="shared" si="2"/>
        <v>0.16767650252753652</v>
      </c>
    </row>
    <row r="64" spans="1:6">
      <c r="A64" s="5" t="s">
        <v>20</v>
      </c>
      <c r="B64" s="6">
        <f>COUNTIF(Incident_Data!$F$2:$F$181,A64)</f>
        <v>32</v>
      </c>
      <c r="C64" s="8">
        <f>SUMIF(Incident_Data!$F$2:$F$181,A64,Incident_Data!$I$2:$I$181)</f>
        <v>1682059</v>
      </c>
      <c r="D64" s="7">
        <f t="shared" si="2"/>
        <v>0.1634110599954029</v>
      </c>
    </row>
    <row r="65" spans="1:4">
      <c r="A65" s="5" t="s">
        <v>40</v>
      </c>
      <c r="B65" s="6">
        <f>COUNTIF(Incident_Data!$F$2:$F$181,A65)</f>
        <v>25</v>
      </c>
      <c r="C65" s="8">
        <f>SUMIF(Incident_Data!$F$2:$F$181,A65,Incident_Data!$I$2:$I$181)</f>
        <v>1493242</v>
      </c>
      <c r="D65" s="7">
        <f t="shared" si="2"/>
        <v>0.14506759753947715</v>
      </c>
    </row>
    <row r="66" spans="1:4">
      <c r="A66" s="5" t="s">
        <v>74</v>
      </c>
      <c r="B66" s="6">
        <f>COUNTIF(Incident_Data!$F$2:$F$181,A66)</f>
        <v>26</v>
      </c>
      <c r="C66" s="8">
        <f>SUMIF(Incident_Data!$F$2:$F$181,A66,Incident_Data!$I$2:$I$181)</f>
        <v>1403244</v>
      </c>
      <c r="D66" s="7">
        <f t="shared" si="2"/>
        <v>0.13632434383822989</v>
      </c>
    </row>
    <row r="67" spans="1:4">
      <c r="A67" s="5" t="s">
        <v>183</v>
      </c>
      <c r="B67" s="6">
        <f>COUNTIF(Incident_Data!$F$2:$F$181,A67)</f>
        <v>10</v>
      </c>
      <c r="C67" s="8">
        <f>SUMIF(Incident_Data!$F$2:$F$181,A67,Incident_Data!$I$2:$I$181)</f>
        <v>663410</v>
      </c>
      <c r="D67" s="7">
        <f t="shared" si="2"/>
        <v>6.444989819712045E-2</v>
      </c>
    </row>
    <row r="68" spans="1:4">
      <c r="A68" s="5" t="s">
        <v>191</v>
      </c>
      <c r="B68" s="6">
        <f>COUNTIF(Incident_Data!$F$2:$F$181,A68)</f>
        <v>8</v>
      </c>
      <c r="C68" s="8">
        <f>SUMIF(Incident_Data!$F$2:$F$181,A68,Incident_Data!$I$2:$I$181)</f>
        <v>643730</v>
      </c>
      <c r="D68" s="7">
        <f t="shared" si="2"/>
        <v>6.2537997567767067E-2</v>
      </c>
    </row>
    <row r="69" spans="1:4">
      <c r="A69" s="5" t="s">
        <v>176</v>
      </c>
      <c r="B69" s="6">
        <f>COUNTIF(Incident_Data!$F$2:$F$181,A69)</f>
        <v>10</v>
      </c>
      <c r="C69" s="8">
        <f>SUMIF(Incident_Data!$F$2:$F$181,A69,Incident_Data!$I$2:$I$181)</f>
        <v>617870</v>
      </c>
      <c r="D69" s="7">
        <f t="shared" si="2"/>
        <v>6.0025713509074048E-2</v>
      </c>
    </row>
    <row r="70" spans="1:4">
      <c r="A70" s="5" t="s">
        <v>215</v>
      </c>
      <c r="B70" s="6">
        <f>COUNTIF(Incident_Data!$F$2:$F$181,A70)</f>
        <v>6</v>
      </c>
      <c r="C70" s="8">
        <f>SUMIF(Incident_Data!$F$2:$F$181,A70,Incident_Data!$I$2:$I$181)</f>
        <v>307620</v>
      </c>
      <c r="D70" s="7">
        <f t="shared" si="2"/>
        <v>2.9885105264313462E-2</v>
      </c>
    </row>
    <row r="71" spans="1:4">
      <c r="A71" s="10" t="s">
        <v>368</v>
      </c>
      <c r="B71" s="11">
        <f>SUM(B62:B70)</f>
        <v>180</v>
      </c>
      <c r="C71" s="14">
        <f>SUM(C62:C70)</f>
        <v>10293422</v>
      </c>
      <c r="D71" s="12">
        <f>SUM(D62:D70)</f>
        <v>1</v>
      </c>
    </row>
    <row r="73" spans="1:4" ht="15">
      <c r="A73" s="3" t="s">
        <v>383</v>
      </c>
    </row>
    <row r="74" spans="1:4" ht="31.5" customHeight="1">
      <c r="A74" s="9" t="s">
        <v>6</v>
      </c>
      <c r="B74" s="9" t="s">
        <v>370</v>
      </c>
      <c r="C74" s="9" t="s">
        <v>372</v>
      </c>
      <c r="D74" s="9" t="s">
        <v>382</v>
      </c>
    </row>
    <row r="75" spans="1:4">
      <c r="A75" s="5" t="s">
        <v>21</v>
      </c>
      <c r="B75" s="6">
        <f>COUNTIF(Incident_Data!$G$2:$G$181,A75)</f>
        <v>42</v>
      </c>
      <c r="C75" s="8">
        <f>SUMIF(Incident_Data!$G$2:$G$181,A75,Incident_Data!$I$2:$I$181)</f>
        <v>2836299</v>
      </c>
      <c r="D75" s="7">
        <f t="shared" ref="D75:D82" si="3">C75/$B$11</f>
        <v>0.27554480910235685</v>
      </c>
    </row>
    <row r="76" spans="1:4">
      <c r="A76" s="5" t="s">
        <v>83</v>
      </c>
      <c r="B76" s="6">
        <f>COUNTIF(Incident_Data!$G$2:$G$181,A76)</f>
        <v>33</v>
      </c>
      <c r="C76" s="8">
        <f>SUMIF(Incident_Data!$G$2:$G$181,A76,Incident_Data!$I$2:$I$181)</f>
        <v>2079986</v>
      </c>
      <c r="D76" s="7">
        <f t="shared" si="3"/>
        <v>0.20206943813243058</v>
      </c>
    </row>
    <row r="77" spans="1:4">
      <c r="A77" s="5" t="s">
        <v>41</v>
      </c>
      <c r="B77" s="6">
        <f>COUNTIF(Incident_Data!$G$2:$G$181,A77)</f>
        <v>38</v>
      </c>
      <c r="C77" s="8">
        <f>SUMIF(Incident_Data!$G$2:$G$181,A77,Incident_Data!$I$2:$I$181)</f>
        <v>1763143</v>
      </c>
      <c r="D77" s="7">
        <f t="shared" si="3"/>
        <v>0.17128832374695219</v>
      </c>
    </row>
    <row r="78" spans="1:4">
      <c r="A78" s="5" t="s">
        <v>44</v>
      </c>
      <c r="B78" s="6">
        <f>COUNTIF(Incident_Data!$G$2:$G$181,A78)</f>
        <v>36</v>
      </c>
      <c r="C78" s="8">
        <f>SUMIF(Incident_Data!$G$2:$G$181,A78,Incident_Data!$I$2:$I$181)</f>
        <v>1624054</v>
      </c>
      <c r="D78" s="7">
        <f t="shared" si="3"/>
        <v>0.15777590775934378</v>
      </c>
    </row>
    <row r="79" spans="1:4">
      <c r="A79" s="5" t="s">
        <v>210</v>
      </c>
      <c r="B79" s="6">
        <f>COUNTIF(Incident_Data!$G$2:$G$181,A79)</f>
        <v>11</v>
      </c>
      <c r="C79" s="8">
        <f>SUMIF(Incident_Data!$G$2:$G$181,A79,Incident_Data!$I$2:$I$181)</f>
        <v>964680</v>
      </c>
      <c r="D79" s="7">
        <f t="shared" si="3"/>
        <v>9.3718104630316337E-2</v>
      </c>
    </row>
    <row r="80" spans="1:4">
      <c r="A80" s="5" t="s">
        <v>177</v>
      </c>
      <c r="B80" s="6">
        <f>COUNTIF(Incident_Data!$G$2:$G$181,A80)</f>
        <v>14</v>
      </c>
      <c r="C80" s="8">
        <f>SUMIF(Incident_Data!$G$2:$G$181,A80,Incident_Data!$I$2:$I$181)</f>
        <v>646370</v>
      </c>
      <c r="D80" s="7">
        <f t="shared" si="3"/>
        <v>6.2794472042436419E-2</v>
      </c>
    </row>
    <row r="81" spans="1:4">
      <c r="A81" s="5" t="s">
        <v>204</v>
      </c>
      <c r="B81" s="6">
        <f>COUNTIF(Incident_Data!$G$2:$G$181,A81)</f>
        <v>3</v>
      </c>
      <c r="C81" s="8">
        <f>SUMIF(Incident_Data!$G$2:$G$181,A81,Incident_Data!$I$2:$I$181)</f>
        <v>283670</v>
      </c>
      <c r="D81" s="7">
        <f t="shared" si="3"/>
        <v>2.7558376602066833E-2</v>
      </c>
    </row>
    <row r="82" spans="1:4">
      <c r="A82" s="5" t="s">
        <v>226</v>
      </c>
      <c r="B82" s="6">
        <f>COUNTIF(Incident_Data!$G$2:$G$181,A82)</f>
        <v>3</v>
      </c>
      <c r="C82" s="8">
        <f>SUMIF(Incident_Data!$G$2:$G$181,A82,Incident_Data!$I$2:$I$181)</f>
        <v>95220</v>
      </c>
      <c r="D82" s="7">
        <f t="shared" si="3"/>
        <v>9.250567984097029E-3</v>
      </c>
    </row>
    <row r="83" spans="1:4">
      <c r="A83" s="10" t="s">
        <v>368</v>
      </c>
      <c r="B83" s="11">
        <f>SUM(B75:B82)</f>
        <v>180</v>
      </c>
      <c r="C83" s="14">
        <f>SUM(C75:C82)</f>
        <v>10293422</v>
      </c>
      <c r="D83" s="12">
        <f>SUM(D75:D82)</f>
        <v>1</v>
      </c>
    </row>
    <row r="85" spans="1:4" ht="15">
      <c r="A85" s="3" t="s">
        <v>384</v>
      </c>
    </row>
    <row r="86" spans="1:4" ht="31.5" customHeight="1">
      <c r="A86" s="9" t="s">
        <v>4</v>
      </c>
      <c r="B86" s="9" t="s">
        <v>366</v>
      </c>
      <c r="C86" s="9" t="s">
        <v>367</v>
      </c>
    </row>
    <row r="87" spans="1:4">
      <c r="A87" s="5" t="s">
        <v>39</v>
      </c>
      <c r="B87" s="6">
        <f>COUNTIF(Incident_Data!$E$2:$E$181,A87)</f>
        <v>117</v>
      </c>
      <c r="C87" s="7">
        <f>B87/$B$6</f>
        <v>0.65</v>
      </c>
    </row>
    <row r="88" spans="1:4">
      <c r="A88" s="5" t="s">
        <v>19</v>
      </c>
      <c r="B88" s="6">
        <f>COUNTIF(Incident_Data!$E$2:$E$181,A88)</f>
        <v>23</v>
      </c>
      <c r="C88" s="7">
        <f>B88/$B$6</f>
        <v>0.12777777777777777</v>
      </c>
    </row>
    <row r="89" spans="1:4">
      <c r="A89" s="5" t="s">
        <v>64</v>
      </c>
      <c r="B89" s="6">
        <f>COUNTIF(Incident_Data!$E$2:$E$181,A89)</f>
        <v>23</v>
      </c>
      <c r="C89" s="7">
        <f>B89/$B$6</f>
        <v>0.12777777777777777</v>
      </c>
    </row>
    <row r="90" spans="1:4">
      <c r="A90" s="5" t="s">
        <v>31</v>
      </c>
      <c r="B90" s="6">
        <f>COUNTIF(Incident_Data!$E$2:$E$181,A90)</f>
        <v>17</v>
      </c>
      <c r="C90" s="7">
        <f>B90/$B$6</f>
        <v>9.4444444444444442E-2</v>
      </c>
    </row>
    <row r="91" spans="1:4">
      <c r="A91" s="10" t="s">
        <v>368</v>
      </c>
      <c r="B91" s="11">
        <f>SUM(B87:B90)</f>
        <v>180</v>
      </c>
      <c r="C91" s="12">
        <f>SUM(C87:C90)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showGridLines="0" topLeftCell="A46" zoomScaleNormal="100" workbookViewId="0">
      <selection activeCell="L13" sqref="L13"/>
    </sheetView>
  </sheetViews>
  <sheetFormatPr defaultColWidth="8.7109375" defaultRowHeight="12.75"/>
  <cols>
    <col min="1" max="1" width="24" customWidth="1"/>
    <col min="2" max="5" width="12" customWidth="1"/>
    <col min="6" max="6" width="14" customWidth="1"/>
    <col min="7" max="7" width="16" customWidth="1"/>
    <col min="8" max="8" width="18" customWidth="1"/>
    <col min="9" max="9" width="20" customWidth="1"/>
  </cols>
  <sheetData>
    <row r="1" spans="1:9" ht="15">
      <c r="A1" s="27" t="s">
        <v>385</v>
      </c>
      <c r="B1" s="37"/>
      <c r="C1" s="37"/>
      <c r="D1" s="37"/>
      <c r="E1" s="37"/>
      <c r="F1" s="37"/>
      <c r="G1" s="37"/>
      <c r="H1" s="37"/>
      <c r="I1" s="37"/>
    </row>
    <row r="2" spans="1:9" ht="14.25">
      <c r="A2" s="38" t="s">
        <v>386</v>
      </c>
      <c r="B2" s="37"/>
      <c r="C2" s="37"/>
      <c r="D2" s="37"/>
      <c r="E2" s="37"/>
      <c r="F2" s="37"/>
      <c r="G2" s="37"/>
      <c r="H2" s="37"/>
      <c r="I2" s="37"/>
    </row>
    <row r="3" spans="1:9" ht="14.25">
      <c r="A3" s="37"/>
      <c r="B3" s="37"/>
      <c r="C3" s="37"/>
      <c r="D3" s="37"/>
      <c r="E3" s="37"/>
      <c r="F3" s="37"/>
      <c r="G3" s="37"/>
      <c r="H3" s="37"/>
      <c r="I3" s="37"/>
    </row>
    <row r="4" spans="1:9" ht="15">
      <c r="A4" s="27" t="s">
        <v>387</v>
      </c>
      <c r="B4" s="37"/>
      <c r="C4" s="37"/>
      <c r="D4" s="37"/>
      <c r="E4" s="37"/>
      <c r="F4" s="37"/>
      <c r="G4" s="37"/>
      <c r="H4" s="37"/>
      <c r="I4" s="37"/>
    </row>
    <row r="5" spans="1:9" ht="31.5" customHeight="1">
      <c r="A5" s="39" t="s">
        <v>3</v>
      </c>
      <c r="B5" s="39" t="s">
        <v>26</v>
      </c>
      <c r="C5" s="39" t="s">
        <v>27</v>
      </c>
      <c r="D5" s="39" t="s">
        <v>388</v>
      </c>
      <c r="E5" s="39" t="s">
        <v>368</v>
      </c>
      <c r="F5" s="39" t="s">
        <v>389</v>
      </c>
      <c r="G5" s="39" t="s">
        <v>390</v>
      </c>
      <c r="H5" s="39" t="s">
        <v>391</v>
      </c>
      <c r="I5" s="39" t="s">
        <v>392</v>
      </c>
    </row>
    <row r="6" spans="1:9" ht="14.25">
      <c r="A6" s="40" t="s">
        <v>89</v>
      </c>
      <c r="B6" s="41">
        <f>COUNTIFS(Incident_Data!$D$2:$D$181,$A6,Incident_Data!$P$2:$P$181,"No")</f>
        <v>5</v>
      </c>
      <c r="C6" s="41">
        <f>COUNTIFS(Incident_Data!$D$2:$D$181,$A6,Incident_Data!$P$2:$P$181,"Pending")</f>
        <v>3</v>
      </c>
      <c r="D6" s="41">
        <f>COUNTIFS(Incident_Data!$D$2:$D$181,$A6,Incident_Data!$P$2:$P$181,"Yes")</f>
        <v>12</v>
      </c>
      <c r="E6" s="41">
        <f>SUM(B6:D6)</f>
        <v>20</v>
      </c>
      <c r="F6" s="42">
        <f>D6/E6</f>
        <v>0.6</v>
      </c>
      <c r="G6" s="42">
        <f>IF(B6+D6=0,0,D6/(B6+D6))</f>
        <v>0.70588235294117652</v>
      </c>
      <c r="H6" s="41">
        <f>SUMPRODUCT((Incident_Data!$D$2:$D$181=$A6)*(Incident_Data!$P$2:$P$181="Pending")*(Incident_Data!$H$2:$H$181&gt;Incident_Data!$O$2:$O$181))</f>
        <v>2</v>
      </c>
      <c r="I6" s="42">
        <f>(D6+H6)/E6</f>
        <v>0.7</v>
      </c>
    </row>
    <row r="7" spans="1:9" ht="14.25">
      <c r="A7" s="40" t="s">
        <v>30</v>
      </c>
      <c r="B7" s="41">
        <f>COUNTIFS(Incident_Data!$D$2:$D$181,$A7,Incident_Data!$P$2:$P$181,"No")</f>
        <v>9</v>
      </c>
      <c r="C7" s="41">
        <f>COUNTIFS(Incident_Data!$D$2:$D$181,$A7,Incident_Data!$P$2:$P$181,"Pending")</f>
        <v>19</v>
      </c>
      <c r="D7" s="41">
        <f>COUNTIFS(Incident_Data!$D$2:$D$181,$A7,Incident_Data!$P$2:$P$181,"Yes")</f>
        <v>25</v>
      </c>
      <c r="E7" s="41">
        <f>SUM(B7:D7)</f>
        <v>53</v>
      </c>
      <c r="F7" s="42">
        <f>D7/E7</f>
        <v>0.47169811320754718</v>
      </c>
      <c r="G7" s="42">
        <f>IF(B7+D7=0,0,D7/(B7+D7))</f>
        <v>0.73529411764705888</v>
      </c>
      <c r="H7" s="41">
        <f>SUMPRODUCT((Incident_Data!$D$2:$D$181=$A7)*(Incident_Data!$P$2:$P$181="Pending")*(Incident_Data!$H$2:$H$181&gt;Incident_Data!$O$2:$O$181))</f>
        <v>17</v>
      </c>
      <c r="I7" s="42">
        <f>(D7+H7)/E7</f>
        <v>0.79245283018867929</v>
      </c>
    </row>
    <row r="8" spans="1:9" ht="14.25">
      <c r="A8" s="40" t="s">
        <v>18</v>
      </c>
      <c r="B8" s="41">
        <f>COUNTIFS(Incident_Data!$D$2:$D$181,$A8,Incident_Data!$P$2:$P$181,"No")</f>
        <v>32</v>
      </c>
      <c r="C8" s="41">
        <f>COUNTIFS(Incident_Data!$D$2:$D$181,$A8,Incident_Data!$P$2:$P$181,"Pending")</f>
        <v>31</v>
      </c>
      <c r="D8" s="41">
        <f>COUNTIFS(Incident_Data!$D$2:$D$181,$A8,Incident_Data!$P$2:$P$181,"Yes")</f>
        <v>17</v>
      </c>
      <c r="E8" s="41">
        <f>SUM(B8:D8)</f>
        <v>80</v>
      </c>
      <c r="F8" s="42">
        <f>D8/E8</f>
        <v>0.21249999999999999</v>
      </c>
      <c r="G8" s="42">
        <f>IF(B8+D8=0,0,D8/(B8+D8))</f>
        <v>0.34693877551020408</v>
      </c>
      <c r="H8" s="41">
        <f>SUMPRODUCT((Incident_Data!$D$2:$D$181=$A8)*(Incident_Data!$P$2:$P$181="Pending")*(Incident_Data!$H$2:$H$181&gt;Incident_Data!$O$2:$O$181))</f>
        <v>22</v>
      </c>
      <c r="I8" s="42">
        <f>(D8+H8)/E8</f>
        <v>0.48749999999999999</v>
      </c>
    </row>
    <row r="9" spans="1:9" ht="14.25">
      <c r="A9" s="40" t="s">
        <v>51</v>
      </c>
      <c r="B9" s="41">
        <f>COUNTIFS(Incident_Data!$D$2:$D$181,$A9,Incident_Data!$P$2:$P$181,"No")</f>
        <v>17</v>
      </c>
      <c r="C9" s="41">
        <f>COUNTIFS(Incident_Data!$D$2:$D$181,$A9,Incident_Data!$P$2:$P$181,"Pending")</f>
        <v>10</v>
      </c>
      <c r="D9" s="41">
        <f>COUNTIFS(Incident_Data!$D$2:$D$181,$A9,Incident_Data!$P$2:$P$181,"Yes")</f>
        <v>0</v>
      </c>
      <c r="E9" s="41">
        <f>SUM(B9:D9)</f>
        <v>27</v>
      </c>
      <c r="F9" s="42">
        <f>D9/E9</f>
        <v>0</v>
      </c>
      <c r="G9" s="42">
        <f>IF(B9+D9=0,0,D9/(B9+D9))</f>
        <v>0</v>
      </c>
      <c r="H9" s="41">
        <f>SUMPRODUCT((Incident_Data!$D$2:$D$181=$A9)*(Incident_Data!$P$2:$P$181="Pending")*(Incident_Data!$H$2:$H$181&gt;Incident_Data!$O$2:$O$181))</f>
        <v>2</v>
      </c>
      <c r="I9" s="42">
        <f>(D9+H9)/E9</f>
        <v>7.407407407407407E-2</v>
      </c>
    </row>
    <row r="10" spans="1:9" ht="15">
      <c r="A10" s="43" t="s">
        <v>393</v>
      </c>
      <c r="B10" s="44">
        <f>SUM(B6:B9)</f>
        <v>63</v>
      </c>
      <c r="C10" s="44">
        <f>SUM(C6:C9)</f>
        <v>63</v>
      </c>
      <c r="D10" s="44">
        <f>SUM(D6:D9)</f>
        <v>54</v>
      </c>
      <c r="E10" s="44">
        <f>SUM(E6:E9)</f>
        <v>180</v>
      </c>
      <c r="F10" s="45">
        <f>D10/E10</f>
        <v>0.3</v>
      </c>
      <c r="G10" s="45">
        <f>D10/(B10+D10)</f>
        <v>0.46153846153846156</v>
      </c>
      <c r="H10" s="44">
        <f>SUM(H6:H9)</f>
        <v>43</v>
      </c>
      <c r="I10" s="45">
        <f>(D10+H10)/E10</f>
        <v>0.53888888888888886</v>
      </c>
    </row>
    <row r="11" spans="1:9" ht="14.25">
      <c r="A11" s="37"/>
      <c r="B11" s="37"/>
      <c r="C11" s="37"/>
      <c r="D11" s="37"/>
      <c r="E11" s="37"/>
      <c r="F11" s="37"/>
      <c r="G11" s="37"/>
      <c r="H11" s="37"/>
      <c r="I11" s="37"/>
    </row>
    <row r="12" spans="1:9" ht="15">
      <c r="A12" s="27" t="s">
        <v>394</v>
      </c>
      <c r="B12" s="37"/>
      <c r="C12" s="37"/>
      <c r="D12" s="37"/>
      <c r="E12" s="37"/>
      <c r="F12" s="37"/>
      <c r="G12" s="37"/>
      <c r="H12" s="37"/>
      <c r="I12" s="37"/>
    </row>
    <row r="13" spans="1:9" ht="31.5" customHeight="1">
      <c r="A13" s="39" t="s">
        <v>6</v>
      </c>
      <c r="B13" s="39" t="s">
        <v>26</v>
      </c>
      <c r="C13" s="39" t="s">
        <v>27</v>
      </c>
      <c r="D13" s="39" t="s">
        <v>388</v>
      </c>
      <c r="E13" s="39" t="s">
        <v>368</v>
      </c>
      <c r="F13" s="39" t="s">
        <v>389</v>
      </c>
      <c r="G13" s="39" t="s">
        <v>390</v>
      </c>
      <c r="H13" s="39" t="s">
        <v>391</v>
      </c>
      <c r="I13" s="39" t="s">
        <v>372</v>
      </c>
    </row>
    <row r="14" spans="1:9" ht="14.25">
      <c r="A14" s="40" t="s">
        <v>21</v>
      </c>
      <c r="B14" s="41">
        <f>COUNTIFS(Incident_Data!$G$2:$G$181,$A14,Incident_Data!$P$2:$P$181,"No")</f>
        <v>14</v>
      </c>
      <c r="C14" s="41">
        <f>COUNTIFS(Incident_Data!$G$2:$G$181,$A14,Incident_Data!$P$2:$P$181,"Pending")</f>
        <v>20</v>
      </c>
      <c r="D14" s="41">
        <f>COUNTIFS(Incident_Data!$G$2:$G$181,$A14,Incident_Data!$P$2:$P$181,"Yes")</f>
        <v>8</v>
      </c>
      <c r="E14" s="41">
        <f t="shared" ref="E14:E21" si="0">SUM(B14:D14)</f>
        <v>42</v>
      </c>
      <c r="F14" s="42">
        <f t="shared" ref="F14:F22" si="1">D14/E14</f>
        <v>0.19047619047619047</v>
      </c>
      <c r="G14" s="42">
        <f t="shared" ref="G14:G21" si="2">IF(B14+D14=0,0,D14/(B14+D14))</f>
        <v>0.36363636363636365</v>
      </c>
      <c r="H14" s="41">
        <f>SUMPRODUCT((Incident_Data!$G$2:$G$181=$A14)*(Incident_Data!$P$2:$P$181="Pending")*(Incident_Data!$H$2:$H$181&gt;Incident_Data!$O$2:$O$181))</f>
        <v>14</v>
      </c>
      <c r="I14" s="46">
        <f>SUMIF(Incident_Data!$G$2:$G$181,$A14,Incident_Data!$I$2:$I$181)</f>
        <v>2836299</v>
      </c>
    </row>
    <row r="15" spans="1:9" ht="14.25">
      <c r="A15" s="40" t="s">
        <v>41</v>
      </c>
      <c r="B15" s="41">
        <f>COUNTIFS(Incident_Data!$G$2:$G$181,$A15,Incident_Data!$P$2:$P$181,"No")</f>
        <v>9</v>
      </c>
      <c r="C15" s="41">
        <f>COUNTIFS(Incident_Data!$G$2:$G$181,$A15,Incident_Data!$P$2:$P$181,"Pending")</f>
        <v>14</v>
      </c>
      <c r="D15" s="41">
        <f>COUNTIFS(Incident_Data!$G$2:$G$181,$A15,Incident_Data!$P$2:$P$181,"Yes")</f>
        <v>15</v>
      </c>
      <c r="E15" s="41">
        <f t="shared" si="0"/>
        <v>38</v>
      </c>
      <c r="F15" s="42">
        <f t="shared" si="1"/>
        <v>0.39473684210526316</v>
      </c>
      <c r="G15" s="42">
        <f t="shared" si="2"/>
        <v>0.625</v>
      </c>
      <c r="H15" s="41">
        <f>SUMPRODUCT((Incident_Data!$G$2:$G$181=$A15)*(Incident_Data!$P$2:$P$181="Pending")*(Incident_Data!$H$2:$H$181&gt;Incident_Data!$O$2:$O$181))</f>
        <v>8</v>
      </c>
      <c r="I15" s="46">
        <f>SUMIF(Incident_Data!$G$2:$G$181,$A15,Incident_Data!$I$2:$I$181)</f>
        <v>1763143</v>
      </c>
    </row>
    <row r="16" spans="1:9" ht="14.25">
      <c r="A16" s="40" t="s">
        <v>44</v>
      </c>
      <c r="B16" s="41">
        <f>COUNTIFS(Incident_Data!$G$2:$G$181,$A16,Incident_Data!$P$2:$P$181,"No")</f>
        <v>13</v>
      </c>
      <c r="C16" s="41">
        <f>COUNTIFS(Incident_Data!$G$2:$G$181,$A16,Incident_Data!$P$2:$P$181,"Pending")</f>
        <v>12</v>
      </c>
      <c r="D16" s="41">
        <f>COUNTIFS(Incident_Data!$G$2:$G$181,$A16,Incident_Data!$P$2:$P$181,"Yes")</f>
        <v>11</v>
      </c>
      <c r="E16" s="41">
        <f t="shared" si="0"/>
        <v>36</v>
      </c>
      <c r="F16" s="42">
        <f t="shared" si="1"/>
        <v>0.30555555555555558</v>
      </c>
      <c r="G16" s="42">
        <f t="shared" si="2"/>
        <v>0.45833333333333331</v>
      </c>
      <c r="H16" s="41">
        <f>SUMPRODUCT((Incident_Data!$G$2:$G$181=$A16)*(Incident_Data!$P$2:$P$181="Pending")*(Incident_Data!$H$2:$H$181&gt;Incident_Data!$O$2:$O$181))</f>
        <v>7</v>
      </c>
      <c r="I16" s="46">
        <f>SUMIF(Incident_Data!$G$2:$G$181,$A16,Incident_Data!$I$2:$I$181)</f>
        <v>1624054</v>
      </c>
    </row>
    <row r="17" spans="1:9" ht="14.25">
      <c r="A17" s="40" t="s">
        <v>83</v>
      </c>
      <c r="B17" s="41">
        <f>COUNTIFS(Incident_Data!$G$2:$G$181,$A17,Incident_Data!$P$2:$P$181,"No")</f>
        <v>12</v>
      </c>
      <c r="C17" s="41">
        <f>COUNTIFS(Incident_Data!$G$2:$G$181,$A17,Incident_Data!$P$2:$P$181,"Pending")</f>
        <v>8</v>
      </c>
      <c r="D17" s="41">
        <f>COUNTIFS(Incident_Data!$G$2:$G$181,$A17,Incident_Data!$P$2:$P$181,"Yes")</f>
        <v>13</v>
      </c>
      <c r="E17" s="41">
        <f t="shared" si="0"/>
        <v>33</v>
      </c>
      <c r="F17" s="42">
        <f t="shared" si="1"/>
        <v>0.39393939393939392</v>
      </c>
      <c r="G17" s="42">
        <f t="shared" si="2"/>
        <v>0.52</v>
      </c>
      <c r="H17" s="41">
        <f>SUMPRODUCT((Incident_Data!$G$2:$G$181=$A17)*(Incident_Data!$P$2:$P$181="Pending")*(Incident_Data!$H$2:$H$181&gt;Incident_Data!$O$2:$O$181))</f>
        <v>6</v>
      </c>
      <c r="I17" s="46">
        <f>SUMIF(Incident_Data!$G$2:$G$181,$A17,Incident_Data!$I$2:$I$181)</f>
        <v>2079986</v>
      </c>
    </row>
    <row r="18" spans="1:9" ht="14.25">
      <c r="A18" s="40" t="s">
        <v>177</v>
      </c>
      <c r="B18" s="41">
        <f>COUNTIFS(Incident_Data!$G$2:$G$181,$A18,Incident_Data!$P$2:$P$181,"No")</f>
        <v>9</v>
      </c>
      <c r="C18" s="41">
        <f>COUNTIFS(Incident_Data!$G$2:$G$181,$A18,Incident_Data!$P$2:$P$181,"Pending")</f>
        <v>4</v>
      </c>
      <c r="D18" s="41">
        <f>COUNTIFS(Incident_Data!$G$2:$G$181,$A18,Incident_Data!$P$2:$P$181,"Yes")</f>
        <v>1</v>
      </c>
      <c r="E18" s="41">
        <f t="shared" si="0"/>
        <v>14</v>
      </c>
      <c r="F18" s="42">
        <f t="shared" si="1"/>
        <v>7.1428571428571425E-2</v>
      </c>
      <c r="G18" s="42">
        <f t="shared" si="2"/>
        <v>0.1</v>
      </c>
      <c r="H18" s="41">
        <f>SUMPRODUCT((Incident_Data!$G$2:$G$181=$A18)*(Incident_Data!$P$2:$P$181="Pending")*(Incident_Data!$H$2:$H$181&gt;Incident_Data!$O$2:$O$181))</f>
        <v>4</v>
      </c>
      <c r="I18" s="46">
        <f>SUMIF(Incident_Data!$G$2:$G$181,$A18,Incident_Data!$I$2:$I$181)</f>
        <v>646370</v>
      </c>
    </row>
    <row r="19" spans="1:9" ht="14.25">
      <c r="A19" s="40" t="s">
        <v>210</v>
      </c>
      <c r="B19" s="41">
        <f>COUNTIFS(Incident_Data!$G$2:$G$181,$A19,Incident_Data!$P$2:$P$181,"No")</f>
        <v>5</v>
      </c>
      <c r="C19" s="41">
        <f>COUNTIFS(Incident_Data!$G$2:$G$181,$A19,Incident_Data!$P$2:$P$181,"Pending")</f>
        <v>2</v>
      </c>
      <c r="D19" s="41">
        <f>COUNTIFS(Incident_Data!$G$2:$G$181,$A19,Incident_Data!$P$2:$P$181,"Yes")</f>
        <v>4</v>
      </c>
      <c r="E19" s="41">
        <f t="shared" si="0"/>
        <v>11</v>
      </c>
      <c r="F19" s="42">
        <f t="shared" si="1"/>
        <v>0.36363636363636365</v>
      </c>
      <c r="G19" s="42">
        <f t="shared" si="2"/>
        <v>0.44444444444444442</v>
      </c>
      <c r="H19" s="41">
        <f>SUMPRODUCT((Incident_Data!$G$2:$G$181=$A19)*(Incident_Data!$P$2:$P$181="Pending")*(Incident_Data!$H$2:$H$181&gt;Incident_Data!$O$2:$O$181))</f>
        <v>2</v>
      </c>
      <c r="I19" s="46">
        <f>SUMIF(Incident_Data!$G$2:$G$181,$A19,Incident_Data!$I$2:$I$181)</f>
        <v>964680</v>
      </c>
    </row>
    <row r="20" spans="1:9" ht="14.25">
      <c r="A20" s="40" t="s">
        <v>204</v>
      </c>
      <c r="B20" s="41">
        <f>COUNTIFS(Incident_Data!$G$2:$G$181,$A20,Incident_Data!$P$2:$P$181,"No")</f>
        <v>0</v>
      </c>
      <c r="C20" s="41">
        <f>COUNTIFS(Incident_Data!$G$2:$G$181,$A20,Incident_Data!$P$2:$P$181,"Pending")</f>
        <v>2</v>
      </c>
      <c r="D20" s="41">
        <f>COUNTIFS(Incident_Data!$G$2:$G$181,$A20,Incident_Data!$P$2:$P$181,"Yes")</f>
        <v>1</v>
      </c>
      <c r="E20" s="41">
        <f t="shared" si="0"/>
        <v>3</v>
      </c>
      <c r="F20" s="42">
        <f t="shared" si="1"/>
        <v>0.33333333333333331</v>
      </c>
      <c r="G20" s="42">
        <f t="shared" si="2"/>
        <v>1</v>
      </c>
      <c r="H20" s="41">
        <f>SUMPRODUCT((Incident_Data!$G$2:$G$181=$A20)*(Incident_Data!$P$2:$P$181="Pending")*(Incident_Data!$H$2:$H$181&gt;Incident_Data!$O$2:$O$181))</f>
        <v>1</v>
      </c>
      <c r="I20" s="46">
        <f>SUMIF(Incident_Data!$G$2:$G$181,$A20,Incident_Data!$I$2:$I$181)</f>
        <v>283670</v>
      </c>
    </row>
    <row r="21" spans="1:9" ht="14.25">
      <c r="A21" s="40" t="s">
        <v>226</v>
      </c>
      <c r="B21" s="41">
        <f>COUNTIFS(Incident_Data!$G$2:$G$181,$A21,Incident_Data!$P$2:$P$181,"No")</f>
        <v>1</v>
      </c>
      <c r="C21" s="41">
        <f>COUNTIFS(Incident_Data!$G$2:$G$181,$A21,Incident_Data!$P$2:$P$181,"Pending")</f>
        <v>1</v>
      </c>
      <c r="D21" s="41">
        <f>COUNTIFS(Incident_Data!$G$2:$G$181,$A21,Incident_Data!$P$2:$P$181,"Yes")</f>
        <v>1</v>
      </c>
      <c r="E21" s="41">
        <f t="shared" si="0"/>
        <v>3</v>
      </c>
      <c r="F21" s="42">
        <f t="shared" si="1"/>
        <v>0.33333333333333331</v>
      </c>
      <c r="G21" s="42">
        <f t="shared" si="2"/>
        <v>0.5</v>
      </c>
      <c r="H21" s="41">
        <f>SUMPRODUCT((Incident_Data!$G$2:$G$181=$A21)*(Incident_Data!$P$2:$P$181="Pending")*(Incident_Data!$H$2:$H$181&gt;Incident_Data!$O$2:$O$181))</f>
        <v>1</v>
      </c>
      <c r="I21" s="46">
        <f>SUMIF(Incident_Data!$G$2:$G$181,$A21,Incident_Data!$I$2:$I$181)</f>
        <v>95220</v>
      </c>
    </row>
    <row r="22" spans="1:9" ht="15">
      <c r="A22" s="43" t="s">
        <v>393</v>
      </c>
      <c r="B22" s="44">
        <f>SUM(B14:B21)</f>
        <v>63</v>
      </c>
      <c r="C22" s="44">
        <f>SUM(C14:C21)</f>
        <v>63</v>
      </c>
      <c r="D22" s="44">
        <f>SUM(D14:D21)</f>
        <v>54</v>
      </c>
      <c r="E22" s="44">
        <f>SUM(E14:E21)</f>
        <v>180</v>
      </c>
      <c r="F22" s="45">
        <f t="shared" si="1"/>
        <v>0.3</v>
      </c>
      <c r="G22" s="45">
        <f>D22/(B22+D22)</f>
        <v>0.46153846153846156</v>
      </c>
      <c r="H22" s="44">
        <f>SUM(H14:H21)</f>
        <v>43</v>
      </c>
      <c r="I22" s="47">
        <f>SUM(I14:I21)</f>
        <v>10293422</v>
      </c>
    </row>
    <row r="23" spans="1:9" ht="14.25">
      <c r="A23" s="37"/>
      <c r="B23" s="37"/>
      <c r="C23" s="37"/>
      <c r="D23" s="37"/>
      <c r="E23" s="37"/>
      <c r="F23" s="37"/>
      <c r="G23" s="37"/>
      <c r="H23" s="37"/>
      <c r="I23" s="37"/>
    </row>
    <row r="24" spans="1:9" ht="15">
      <c r="A24" s="27" t="s">
        <v>395</v>
      </c>
      <c r="B24" s="37"/>
      <c r="C24" s="37"/>
      <c r="D24" s="37"/>
      <c r="E24" s="37"/>
      <c r="F24" s="37"/>
      <c r="G24" s="37"/>
      <c r="H24" s="37"/>
      <c r="I24" s="37"/>
    </row>
    <row r="25" spans="1:9" ht="31.5" customHeight="1">
      <c r="A25" s="39" t="s">
        <v>6</v>
      </c>
      <c r="B25" s="39" t="s">
        <v>89</v>
      </c>
      <c r="C25" s="39" t="s">
        <v>30</v>
      </c>
      <c r="D25" s="39" t="s">
        <v>18</v>
      </c>
      <c r="E25" s="39" t="s">
        <v>51</v>
      </c>
      <c r="F25" s="39" t="s">
        <v>368</v>
      </c>
      <c r="G25" s="37"/>
      <c r="H25" s="37"/>
      <c r="I25" s="37"/>
    </row>
    <row r="26" spans="1:9" ht="14.25">
      <c r="A26" s="40" t="s">
        <v>21</v>
      </c>
      <c r="B26" s="41">
        <f>COUNTIFS(Incident_Data!$G$2:$G$181,$A26,Incident_Data!$D$2:$D$181,B$25,Incident_Data!$P$2:$P$181,"Yes")</f>
        <v>1</v>
      </c>
      <c r="C26" s="41">
        <f>COUNTIFS(Incident_Data!$G$2:$G$181,$A26,Incident_Data!$D$2:$D$181,C$25,Incident_Data!$P$2:$P$181,"Yes")</f>
        <v>2</v>
      </c>
      <c r="D26" s="41">
        <f>COUNTIFS(Incident_Data!$G$2:$G$181,$A26,Incident_Data!$D$2:$D$181,D$25,Incident_Data!$P$2:$P$181,"Yes")</f>
        <v>5</v>
      </c>
      <c r="E26" s="41">
        <f>COUNTIFS(Incident_Data!$G$2:$G$181,$A26,Incident_Data!$D$2:$D$181,E$25,Incident_Data!$P$2:$P$181,"Yes")</f>
        <v>0</v>
      </c>
      <c r="F26" s="41">
        <f t="shared" ref="F26:F33" si="3">SUM(B26:E26)</f>
        <v>8</v>
      </c>
      <c r="G26" s="37"/>
      <c r="H26" s="37"/>
      <c r="I26" s="37"/>
    </row>
    <row r="27" spans="1:9" ht="14.25">
      <c r="A27" s="40" t="s">
        <v>41</v>
      </c>
      <c r="B27" s="41">
        <f>COUNTIFS(Incident_Data!$G$2:$G$181,$A27,Incident_Data!$D$2:$D$181,B$25,Incident_Data!$P$2:$P$181,"Yes")</f>
        <v>4</v>
      </c>
      <c r="C27" s="41">
        <f>COUNTIFS(Incident_Data!$G$2:$G$181,$A27,Incident_Data!$D$2:$D$181,C$25,Incident_Data!$P$2:$P$181,"Yes")</f>
        <v>7</v>
      </c>
      <c r="D27" s="41">
        <f>COUNTIFS(Incident_Data!$G$2:$G$181,$A27,Incident_Data!$D$2:$D$181,D$25,Incident_Data!$P$2:$P$181,"Yes")</f>
        <v>4</v>
      </c>
      <c r="E27" s="41">
        <f>COUNTIFS(Incident_Data!$G$2:$G$181,$A27,Incident_Data!$D$2:$D$181,E$25,Incident_Data!$P$2:$P$181,"Yes")</f>
        <v>0</v>
      </c>
      <c r="F27" s="41">
        <f t="shared" si="3"/>
        <v>15</v>
      </c>
      <c r="G27" s="37"/>
      <c r="H27" s="37"/>
      <c r="I27" s="37"/>
    </row>
    <row r="28" spans="1:9" ht="14.25">
      <c r="A28" s="40" t="s">
        <v>44</v>
      </c>
      <c r="B28" s="41">
        <f>COUNTIFS(Incident_Data!$G$2:$G$181,$A28,Incident_Data!$D$2:$D$181,B$25,Incident_Data!$P$2:$P$181,"Yes")</f>
        <v>1</v>
      </c>
      <c r="C28" s="41">
        <f>COUNTIFS(Incident_Data!$G$2:$G$181,$A28,Incident_Data!$D$2:$D$181,C$25,Incident_Data!$P$2:$P$181,"Yes")</f>
        <v>5</v>
      </c>
      <c r="D28" s="41">
        <f>COUNTIFS(Incident_Data!$G$2:$G$181,$A28,Incident_Data!$D$2:$D$181,D$25,Incident_Data!$P$2:$P$181,"Yes")</f>
        <v>5</v>
      </c>
      <c r="E28" s="41">
        <f>COUNTIFS(Incident_Data!$G$2:$G$181,$A28,Incident_Data!$D$2:$D$181,E$25,Incident_Data!$P$2:$P$181,"Yes")</f>
        <v>0</v>
      </c>
      <c r="F28" s="41">
        <f t="shared" si="3"/>
        <v>11</v>
      </c>
      <c r="G28" s="37"/>
      <c r="H28" s="37"/>
      <c r="I28" s="37"/>
    </row>
    <row r="29" spans="1:9" ht="14.25">
      <c r="A29" s="40" t="s">
        <v>83</v>
      </c>
      <c r="B29" s="41">
        <f>COUNTIFS(Incident_Data!$G$2:$G$181,$A29,Incident_Data!$D$2:$D$181,B$25,Incident_Data!$P$2:$P$181,"Yes")</f>
        <v>6</v>
      </c>
      <c r="C29" s="41">
        <f>COUNTIFS(Incident_Data!$G$2:$G$181,$A29,Incident_Data!$D$2:$D$181,C$25,Incident_Data!$P$2:$P$181,"Yes")</f>
        <v>4</v>
      </c>
      <c r="D29" s="41">
        <f>COUNTIFS(Incident_Data!$G$2:$G$181,$A29,Incident_Data!$D$2:$D$181,D$25,Incident_Data!$P$2:$P$181,"Yes")</f>
        <v>3</v>
      </c>
      <c r="E29" s="41">
        <f>COUNTIFS(Incident_Data!$G$2:$G$181,$A29,Incident_Data!$D$2:$D$181,E$25,Incident_Data!$P$2:$P$181,"Yes")</f>
        <v>0</v>
      </c>
      <c r="F29" s="41">
        <f t="shared" si="3"/>
        <v>13</v>
      </c>
      <c r="G29" s="37"/>
      <c r="H29" s="37"/>
      <c r="I29" s="37"/>
    </row>
    <row r="30" spans="1:9" ht="14.25">
      <c r="A30" s="40" t="s">
        <v>177</v>
      </c>
      <c r="B30" s="41">
        <f>COUNTIFS(Incident_Data!$G$2:$G$181,$A30,Incident_Data!$D$2:$D$181,B$25,Incident_Data!$P$2:$P$181,"Yes")</f>
        <v>0</v>
      </c>
      <c r="C30" s="41">
        <f>COUNTIFS(Incident_Data!$G$2:$G$181,$A30,Incident_Data!$D$2:$D$181,C$25,Incident_Data!$P$2:$P$181,"Yes")</f>
        <v>1</v>
      </c>
      <c r="D30" s="41">
        <f>COUNTIFS(Incident_Data!$G$2:$G$181,$A30,Incident_Data!$D$2:$D$181,D$25,Incident_Data!$P$2:$P$181,"Yes")</f>
        <v>0</v>
      </c>
      <c r="E30" s="41">
        <f>COUNTIFS(Incident_Data!$G$2:$G$181,$A30,Incident_Data!$D$2:$D$181,E$25,Incident_Data!$P$2:$P$181,"Yes")</f>
        <v>0</v>
      </c>
      <c r="F30" s="41">
        <f t="shared" si="3"/>
        <v>1</v>
      </c>
      <c r="G30" s="37"/>
      <c r="H30" s="37"/>
      <c r="I30" s="37"/>
    </row>
    <row r="31" spans="1:9" ht="14.25">
      <c r="A31" s="40" t="s">
        <v>210</v>
      </c>
      <c r="B31" s="41">
        <f>COUNTIFS(Incident_Data!$G$2:$G$181,$A31,Incident_Data!$D$2:$D$181,B$25,Incident_Data!$P$2:$P$181,"Yes")</f>
        <v>0</v>
      </c>
      <c r="C31" s="41">
        <f>COUNTIFS(Incident_Data!$G$2:$G$181,$A31,Incident_Data!$D$2:$D$181,C$25,Incident_Data!$P$2:$P$181,"Yes")</f>
        <v>4</v>
      </c>
      <c r="D31" s="41">
        <f>COUNTIFS(Incident_Data!$G$2:$G$181,$A31,Incident_Data!$D$2:$D$181,D$25,Incident_Data!$P$2:$P$181,"Yes")</f>
        <v>0</v>
      </c>
      <c r="E31" s="41">
        <f>COUNTIFS(Incident_Data!$G$2:$G$181,$A31,Incident_Data!$D$2:$D$181,E$25,Incident_Data!$P$2:$P$181,"Yes")</f>
        <v>0</v>
      </c>
      <c r="F31" s="41">
        <f t="shared" si="3"/>
        <v>4</v>
      </c>
      <c r="G31" s="37"/>
      <c r="H31" s="37"/>
      <c r="I31" s="37"/>
    </row>
    <row r="32" spans="1:9" ht="14.25">
      <c r="A32" s="40" t="s">
        <v>204</v>
      </c>
      <c r="B32" s="41">
        <f>COUNTIFS(Incident_Data!$G$2:$G$181,$A32,Incident_Data!$D$2:$D$181,B$25,Incident_Data!$P$2:$P$181,"Yes")</f>
        <v>0</v>
      </c>
      <c r="C32" s="41">
        <f>COUNTIFS(Incident_Data!$G$2:$G$181,$A32,Incident_Data!$D$2:$D$181,C$25,Incident_Data!$P$2:$P$181,"Yes")</f>
        <v>1</v>
      </c>
      <c r="D32" s="41">
        <f>COUNTIFS(Incident_Data!$G$2:$G$181,$A32,Incident_Data!$D$2:$D$181,D$25,Incident_Data!$P$2:$P$181,"Yes")</f>
        <v>0</v>
      </c>
      <c r="E32" s="41">
        <f>COUNTIFS(Incident_Data!$G$2:$G$181,$A32,Incident_Data!$D$2:$D$181,E$25,Incident_Data!$P$2:$P$181,"Yes")</f>
        <v>0</v>
      </c>
      <c r="F32" s="41">
        <f t="shared" si="3"/>
        <v>1</v>
      </c>
      <c r="G32" s="37"/>
      <c r="H32" s="37"/>
      <c r="I32" s="37"/>
    </row>
    <row r="33" spans="1:9" ht="14.25">
      <c r="A33" s="40" t="s">
        <v>226</v>
      </c>
      <c r="B33" s="41">
        <f>COUNTIFS(Incident_Data!$G$2:$G$181,$A33,Incident_Data!$D$2:$D$181,B$25,Incident_Data!$P$2:$P$181,"Yes")</f>
        <v>0</v>
      </c>
      <c r="C33" s="41">
        <f>COUNTIFS(Incident_Data!$G$2:$G$181,$A33,Incident_Data!$D$2:$D$181,C$25,Incident_Data!$P$2:$P$181,"Yes")</f>
        <v>1</v>
      </c>
      <c r="D33" s="41">
        <f>COUNTIFS(Incident_Data!$G$2:$G$181,$A33,Incident_Data!$D$2:$D$181,D$25,Incident_Data!$P$2:$P$181,"Yes")</f>
        <v>0</v>
      </c>
      <c r="E33" s="41">
        <f>COUNTIFS(Incident_Data!$G$2:$G$181,$A33,Incident_Data!$D$2:$D$181,E$25,Incident_Data!$P$2:$P$181,"Yes")</f>
        <v>0</v>
      </c>
      <c r="F33" s="41">
        <f t="shared" si="3"/>
        <v>1</v>
      </c>
      <c r="G33" s="37"/>
      <c r="H33" s="37"/>
      <c r="I33" s="37"/>
    </row>
    <row r="34" spans="1:9" ht="15">
      <c r="A34" s="43" t="s">
        <v>393</v>
      </c>
      <c r="B34" s="44">
        <f>SUM(B26:B33)</f>
        <v>12</v>
      </c>
      <c r="C34" s="44">
        <f>SUM(C26:C33)</f>
        <v>25</v>
      </c>
      <c r="D34" s="44">
        <f>SUM(D26:D33)</f>
        <v>17</v>
      </c>
      <c r="E34" s="44">
        <f>SUM(E26:E33)</f>
        <v>0</v>
      </c>
      <c r="F34" s="44">
        <f>SUM(F26:F33)</f>
        <v>54</v>
      </c>
      <c r="G34" s="37"/>
      <c r="H34" s="37"/>
      <c r="I34" s="37"/>
    </row>
    <row r="35" spans="1:9" ht="14.25">
      <c r="A35" s="37"/>
      <c r="B35" s="37"/>
      <c r="C35" s="37"/>
      <c r="D35" s="37"/>
      <c r="E35" s="37"/>
      <c r="F35" s="37"/>
      <c r="G35" s="37"/>
      <c r="H35" s="37"/>
      <c r="I35" s="37"/>
    </row>
    <row r="36" spans="1:9" ht="14.25">
      <c r="A36" s="37"/>
      <c r="B36" s="37"/>
      <c r="C36" s="37"/>
      <c r="D36" s="37"/>
      <c r="E36" s="37"/>
      <c r="F36" s="37"/>
      <c r="G36" s="37"/>
      <c r="H36" s="37"/>
      <c r="I36" s="3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6"/>
  <sheetViews>
    <sheetView showGridLines="0" zoomScaleNormal="100" workbookViewId="0"/>
  </sheetViews>
  <sheetFormatPr defaultColWidth="8.7109375" defaultRowHeight="12.75"/>
  <cols>
    <col min="1" max="1" width="22" customWidth="1"/>
    <col min="2" max="11" width="14" customWidth="1"/>
  </cols>
  <sheetData>
    <row r="1" spans="1:11" ht="18">
      <c r="A1" s="25" t="s">
        <v>396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26" t="s">
        <v>397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5">
      <c r="A4" s="27" t="s">
        <v>398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31.5" customHeight="1">
      <c r="A5" s="28" t="s">
        <v>11</v>
      </c>
      <c r="B5" s="28" t="s">
        <v>370</v>
      </c>
      <c r="C5" s="28" t="s">
        <v>367</v>
      </c>
      <c r="D5" s="28" t="s">
        <v>372</v>
      </c>
      <c r="E5" s="28" t="s">
        <v>371</v>
      </c>
      <c r="F5" s="16"/>
      <c r="G5" s="16"/>
      <c r="H5" s="16"/>
      <c r="I5" s="16"/>
      <c r="J5" s="16"/>
      <c r="K5" s="16"/>
    </row>
    <row r="6" spans="1:11">
      <c r="A6" s="29" t="s">
        <v>58</v>
      </c>
      <c r="B6" s="30">
        <f>COUNTIF(Incident_Data!$L$2:$L$181,A6)</f>
        <v>56</v>
      </c>
      <c r="C6" s="31">
        <f>B6/'Core Analysis'!$B$6</f>
        <v>0.31111111111111112</v>
      </c>
      <c r="D6" s="35">
        <f>SUMIF(Incident_Data!$L$2:$L$181,A6,Incident_Data!$I$2:$I$181)</f>
        <v>3208575</v>
      </c>
      <c r="E6" s="35">
        <f>AVERAGEIF(Incident_Data!$L$2:$L$181,A6,Incident_Data!$I$2:$I$181)</f>
        <v>57295.982142857145</v>
      </c>
      <c r="F6" s="16"/>
      <c r="G6" s="16"/>
      <c r="H6" s="16"/>
      <c r="I6" s="16"/>
      <c r="J6" s="16"/>
      <c r="K6" s="16"/>
    </row>
    <row r="7" spans="1:11">
      <c r="A7" s="29" t="s">
        <v>35</v>
      </c>
      <c r="B7" s="30">
        <f>COUNTIF(Incident_Data!$L$2:$L$181,A7)</f>
        <v>44</v>
      </c>
      <c r="C7" s="31">
        <f>B7/'Core Analysis'!$B$6</f>
        <v>0.24444444444444444</v>
      </c>
      <c r="D7" s="35">
        <f>SUMIF(Incident_Data!$L$2:$L$181,A7,Incident_Data!$I$2:$I$181)</f>
        <v>2658508</v>
      </c>
      <c r="E7" s="35">
        <f>AVERAGEIF(Incident_Data!$L$2:$L$181,A7,Incident_Data!$I$2:$I$181)</f>
        <v>60420.63636363636</v>
      </c>
      <c r="F7" s="16"/>
      <c r="G7" s="16"/>
      <c r="H7" s="16"/>
      <c r="I7" s="16"/>
      <c r="J7" s="16"/>
      <c r="K7" s="16"/>
    </row>
    <row r="8" spans="1:11">
      <c r="A8" s="29" t="s">
        <v>24</v>
      </c>
      <c r="B8" s="30">
        <f>COUNTIF(Incident_Data!$L$2:$L$181,A8)</f>
        <v>33</v>
      </c>
      <c r="C8" s="31">
        <f>B8/'Core Analysis'!$B$6</f>
        <v>0.18333333333333332</v>
      </c>
      <c r="D8" s="35">
        <f>SUMIF(Incident_Data!$L$2:$L$181,A8,Incident_Data!$I$2:$I$181)</f>
        <v>1923926</v>
      </c>
      <c r="E8" s="35">
        <f>AVERAGEIF(Incident_Data!$L$2:$L$181,A8,Incident_Data!$I$2:$I$181)</f>
        <v>58300.78787878788</v>
      </c>
      <c r="F8" s="16"/>
      <c r="G8" s="16"/>
      <c r="H8" s="16"/>
      <c r="I8" s="16"/>
      <c r="J8" s="16"/>
      <c r="K8" s="16"/>
    </row>
    <row r="9" spans="1:11">
      <c r="A9" s="29" t="s">
        <v>49</v>
      </c>
      <c r="B9" s="30">
        <f>COUNTIF(Incident_Data!$L$2:$L$181,A9)</f>
        <v>14</v>
      </c>
      <c r="C9" s="31">
        <f>B9/'Core Analysis'!$B$6</f>
        <v>7.7777777777777779E-2</v>
      </c>
      <c r="D9" s="35">
        <f>SUMIF(Incident_Data!$L$2:$L$181,A9,Incident_Data!$I$2:$I$181)</f>
        <v>788459</v>
      </c>
      <c r="E9" s="35">
        <f>AVERAGEIF(Incident_Data!$L$2:$L$181,A9,Incident_Data!$I$2:$I$181)</f>
        <v>56318.5</v>
      </c>
      <c r="F9" s="16"/>
      <c r="G9" s="16"/>
      <c r="H9" s="16"/>
      <c r="I9" s="16"/>
      <c r="J9" s="16"/>
      <c r="K9" s="16"/>
    </row>
    <row r="10" spans="1:11">
      <c r="A10" s="29" t="s">
        <v>53</v>
      </c>
      <c r="B10" s="30">
        <f>COUNTIF(Incident_Data!$L$2:$L$181,A10)</f>
        <v>12</v>
      </c>
      <c r="C10" s="31">
        <f>B10/'Core Analysis'!$B$6</f>
        <v>6.6666666666666666E-2</v>
      </c>
      <c r="D10" s="35">
        <f>SUMIF(Incident_Data!$L$2:$L$181,A10,Incident_Data!$I$2:$I$181)</f>
        <v>608797</v>
      </c>
      <c r="E10" s="35">
        <f>AVERAGEIF(Incident_Data!$L$2:$L$181,A10,Incident_Data!$I$2:$I$181)</f>
        <v>50733.083333333336</v>
      </c>
      <c r="F10" s="16"/>
      <c r="G10" s="16"/>
      <c r="H10" s="16"/>
      <c r="I10" s="16"/>
      <c r="J10" s="16"/>
      <c r="K10" s="16"/>
    </row>
    <row r="11" spans="1:11">
      <c r="A11" s="29" t="s">
        <v>75</v>
      </c>
      <c r="B11" s="30">
        <f>COUNTIF(Incident_Data!$L$2:$L$181,A11)</f>
        <v>10</v>
      </c>
      <c r="C11" s="31">
        <f>B11/'Core Analysis'!$B$6</f>
        <v>5.5555555555555552E-2</v>
      </c>
      <c r="D11" s="35">
        <f>SUMIF(Incident_Data!$L$2:$L$181,A11,Incident_Data!$I$2:$I$181)</f>
        <v>540151</v>
      </c>
      <c r="E11" s="35">
        <f>AVERAGEIF(Incident_Data!$L$2:$L$181,A11,Incident_Data!$I$2:$I$181)</f>
        <v>54015.1</v>
      </c>
      <c r="F11" s="16"/>
      <c r="G11" s="16"/>
      <c r="H11" s="16"/>
      <c r="I11" s="16"/>
      <c r="J11" s="16"/>
      <c r="K11" s="16"/>
    </row>
    <row r="12" spans="1:11">
      <c r="A12" s="29" t="s">
        <v>192</v>
      </c>
      <c r="B12" s="30">
        <f>COUNTIF(Incident_Data!$L$2:$L$181,A12)</f>
        <v>6</v>
      </c>
      <c r="C12" s="31">
        <f>B12/'Core Analysis'!$B$6</f>
        <v>3.3333333333333333E-2</v>
      </c>
      <c r="D12" s="35">
        <f>SUMIF(Incident_Data!$L$2:$L$181,A12,Incident_Data!$I$2:$I$181)</f>
        <v>473840</v>
      </c>
      <c r="E12" s="35">
        <f>AVERAGEIF(Incident_Data!$L$2:$L$181,A12,Incident_Data!$I$2:$I$181)</f>
        <v>78973.333333333328</v>
      </c>
      <c r="F12" s="16"/>
      <c r="G12" s="16"/>
      <c r="H12" s="16"/>
      <c r="I12" s="16"/>
      <c r="J12" s="16"/>
      <c r="K12" s="16"/>
    </row>
    <row r="13" spans="1:11">
      <c r="A13" s="29" t="s">
        <v>121</v>
      </c>
      <c r="B13" s="30">
        <f>COUNTIF(Incident_Data!$L$2:$L$181,A13)</f>
        <v>4</v>
      </c>
      <c r="C13" s="31">
        <f>B13/'Core Analysis'!$B$6</f>
        <v>2.2222222222222223E-2</v>
      </c>
      <c r="D13" s="35">
        <f>SUMIF(Incident_Data!$L$2:$L$181,A13,Incident_Data!$I$2:$I$181)</f>
        <v>75446</v>
      </c>
      <c r="E13" s="35">
        <f>AVERAGEIF(Incident_Data!$L$2:$L$181,A13,Incident_Data!$I$2:$I$181)</f>
        <v>18861.5</v>
      </c>
      <c r="F13" s="16"/>
      <c r="G13" s="16"/>
      <c r="H13" s="16"/>
      <c r="I13" s="16"/>
      <c r="J13" s="16"/>
      <c r="K13" s="16"/>
    </row>
    <row r="14" spans="1:11">
      <c r="A14" s="29" t="s">
        <v>220</v>
      </c>
      <c r="B14" s="30">
        <f>COUNTIF(Incident_Data!$L$2:$L$181,A14)</f>
        <v>1</v>
      </c>
      <c r="C14" s="31">
        <f>B14/'Core Analysis'!$B$6</f>
        <v>5.5555555555555558E-3</v>
      </c>
      <c r="D14" s="35">
        <f>SUMIF(Incident_Data!$L$2:$L$181,A14,Incident_Data!$I$2:$I$181)</f>
        <v>15720</v>
      </c>
      <c r="E14" s="35">
        <f>AVERAGEIF(Incident_Data!$L$2:$L$181,A14,Incident_Data!$I$2:$I$181)</f>
        <v>15720</v>
      </c>
      <c r="F14" s="16"/>
      <c r="G14" s="16"/>
      <c r="H14" s="16"/>
      <c r="I14" s="16"/>
      <c r="J14" s="16"/>
      <c r="K14" s="16"/>
    </row>
    <row r="15" spans="1:11">
      <c r="A15" s="32" t="s">
        <v>368</v>
      </c>
      <c r="B15" s="33">
        <f>SUM(B6:B14)</f>
        <v>180</v>
      </c>
      <c r="C15" s="34">
        <f>SUM(C6:C14)</f>
        <v>1</v>
      </c>
      <c r="D15" s="36">
        <f>SUM(D6:D14)</f>
        <v>10293422</v>
      </c>
      <c r="E15" s="36">
        <f>D15/B15</f>
        <v>57185.677777777775</v>
      </c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5">
      <c r="A17" s="27" t="s">
        <v>399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31.5" customHeight="1">
      <c r="A18" s="28" t="s">
        <v>5</v>
      </c>
      <c r="B18" s="28" t="s">
        <v>58</v>
      </c>
      <c r="C18" s="28" t="s">
        <v>35</v>
      </c>
      <c r="D18" s="28" t="s">
        <v>24</v>
      </c>
      <c r="E18" s="28" t="s">
        <v>49</v>
      </c>
      <c r="F18" s="28" t="s">
        <v>53</v>
      </c>
      <c r="G18" s="28" t="s">
        <v>75</v>
      </c>
      <c r="H18" s="28" t="s">
        <v>192</v>
      </c>
      <c r="I18" s="28" t="s">
        <v>121</v>
      </c>
      <c r="J18" s="28" t="s">
        <v>220</v>
      </c>
      <c r="K18" s="28" t="s">
        <v>368</v>
      </c>
    </row>
    <row r="19" spans="1:11">
      <c r="A19" s="29" t="s">
        <v>32</v>
      </c>
      <c r="B19" s="30">
        <f>COUNTIFS(Incident_Data!$F$2:$F$181,$A19,Incident_Data!$L$2:$L$181,B$18)</f>
        <v>9</v>
      </c>
      <c r="C19" s="30">
        <f>COUNTIFS(Incident_Data!$F$2:$F$181,$A19,Incident_Data!$L$2:$L$181,C$18)</f>
        <v>10</v>
      </c>
      <c r="D19" s="30">
        <f>COUNTIFS(Incident_Data!$F$2:$F$181,$A19,Incident_Data!$L$2:$L$181,D$18)</f>
        <v>0</v>
      </c>
      <c r="E19" s="30">
        <f>COUNTIFS(Incident_Data!$F$2:$F$181,$A19,Incident_Data!$L$2:$L$181,E$18)</f>
        <v>14</v>
      </c>
      <c r="F19" s="30">
        <f>COUNTIFS(Incident_Data!$F$2:$F$181,$A19,Incident_Data!$L$2:$L$181,F$18)</f>
        <v>0</v>
      </c>
      <c r="G19" s="30">
        <f>COUNTIFS(Incident_Data!$F$2:$F$181,$A19,Incident_Data!$L$2:$L$181,G$18)</f>
        <v>0</v>
      </c>
      <c r="H19" s="30">
        <f>COUNTIFS(Incident_Data!$F$2:$F$181,$A19,Incident_Data!$L$2:$L$181,H$18)</f>
        <v>0</v>
      </c>
      <c r="I19" s="30">
        <f>COUNTIFS(Incident_Data!$F$2:$F$181,$A19,Incident_Data!$L$2:$L$181,I$18)</f>
        <v>0</v>
      </c>
      <c r="J19" s="30">
        <f>COUNTIFS(Incident_Data!$F$2:$F$181,$A19,Incident_Data!$L$2:$L$181,J$18)</f>
        <v>0</v>
      </c>
      <c r="K19" s="30">
        <f t="shared" ref="K19:K27" si="0">SUM(B19:J19)</f>
        <v>33</v>
      </c>
    </row>
    <row r="20" spans="1:11">
      <c r="A20" s="29" t="s">
        <v>72</v>
      </c>
      <c r="B20" s="30">
        <f>COUNTIFS(Incident_Data!$F$2:$F$181,$A20,Incident_Data!$L$2:$L$181,B$18)</f>
        <v>14</v>
      </c>
      <c r="C20" s="30">
        <f>COUNTIFS(Incident_Data!$F$2:$F$181,$A20,Incident_Data!$L$2:$L$181,C$18)</f>
        <v>8</v>
      </c>
      <c r="D20" s="30">
        <f>COUNTIFS(Incident_Data!$F$2:$F$181,$A20,Incident_Data!$L$2:$L$181,D$18)</f>
        <v>8</v>
      </c>
      <c r="E20" s="30">
        <f>COUNTIFS(Incident_Data!$F$2:$F$181,$A20,Incident_Data!$L$2:$L$181,E$18)</f>
        <v>0</v>
      </c>
      <c r="F20" s="30">
        <f>COUNTIFS(Incident_Data!$F$2:$F$181,$A20,Incident_Data!$L$2:$L$181,F$18)</f>
        <v>0</v>
      </c>
      <c r="G20" s="30">
        <f>COUNTIFS(Incident_Data!$F$2:$F$181,$A20,Incident_Data!$L$2:$L$181,G$18)</f>
        <v>0</v>
      </c>
      <c r="H20" s="30">
        <f>COUNTIFS(Incident_Data!$F$2:$F$181,$A20,Incident_Data!$L$2:$L$181,H$18)</f>
        <v>0</v>
      </c>
      <c r="I20" s="30">
        <f>COUNTIFS(Incident_Data!$F$2:$F$181,$A20,Incident_Data!$L$2:$L$181,I$18)</f>
        <v>0</v>
      </c>
      <c r="J20" s="30">
        <f>COUNTIFS(Incident_Data!$F$2:$F$181,$A20,Incident_Data!$L$2:$L$181,J$18)</f>
        <v>0</v>
      </c>
      <c r="K20" s="30">
        <f t="shared" si="0"/>
        <v>30</v>
      </c>
    </row>
    <row r="21" spans="1:11">
      <c r="A21" s="29" t="s">
        <v>20</v>
      </c>
      <c r="B21" s="30">
        <f>COUNTIFS(Incident_Data!$F$2:$F$181,$A21,Incident_Data!$L$2:$L$181,B$18)</f>
        <v>0</v>
      </c>
      <c r="C21" s="30">
        <f>COUNTIFS(Incident_Data!$F$2:$F$181,$A21,Incident_Data!$L$2:$L$181,C$18)</f>
        <v>10</v>
      </c>
      <c r="D21" s="30">
        <f>COUNTIFS(Incident_Data!$F$2:$F$181,$A21,Incident_Data!$L$2:$L$181,D$18)</f>
        <v>13</v>
      </c>
      <c r="E21" s="30">
        <f>COUNTIFS(Incident_Data!$F$2:$F$181,$A21,Incident_Data!$L$2:$L$181,E$18)</f>
        <v>0</v>
      </c>
      <c r="F21" s="30">
        <f>COUNTIFS(Incident_Data!$F$2:$F$181,$A21,Incident_Data!$L$2:$L$181,F$18)</f>
        <v>9</v>
      </c>
      <c r="G21" s="30">
        <f>COUNTIFS(Incident_Data!$F$2:$F$181,$A21,Incident_Data!$L$2:$L$181,G$18)</f>
        <v>0</v>
      </c>
      <c r="H21" s="30">
        <f>COUNTIFS(Incident_Data!$F$2:$F$181,$A21,Incident_Data!$L$2:$L$181,H$18)</f>
        <v>0</v>
      </c>
      <c r="I21" s="30">
        <f>COUNTIFS(Incident_Data!$F$2:$F$181,$A21,Incident_Data!$L$2:$L$181,I$18)</f>
        <v>0</v>
      </c>
      <c r="J21" s="30">
        <f>COUNTIFS(Incident_Data!$F$2:$F$181,$A21,Incident_Data!$L$2:$L$181,J$18)</f>
        <v>0</v>
      </c>
      <c r="K21" s="30">
        <f t="shared" si="0"/>
        <v>32</v>
      </c>
    </row>
    <row r="22" spans="1:11">
      <c r="A22" s="29" t="s">
        <v>40</v>
      </c>
      <c r="B22" s="30">
        <f>COUNTIFS(Incident_Data!$F$2:$F$181,$A22,Incident_Data!$L$2:$L$181,B$18)</f>
        <v>9</v>
      </c>
      <c r="C22" s="30">
        <f>COUNTIFS(Incident_Data!$F$2:$F$181,$A22,Incident_Data!$L$2:$L$181,C$18)</f>
        <v>12</v>
      </c>
      <c r="D22" s="30">
        <f>COUNTIFS(Incident_Data!$F$2:$F$181,$A22,Incident_Data!$L$2:$L$181,D$18)</f>
        <v>0</v>
      </c>
      <c r="E22" s="30">
        <f>COUNTIFS(Incident_Data!$F$2:$F$181,$A22,Incident_Data!$L$2:$L$181,E$18)</f>
        <v>0</v>
      </c>
      <c r="F22" s="30">
        <f>COUNTIFS(Incident_Data!$F$2:$F$181,$A22,Incident_Data!$L$2:$L$181,F$18)</f>
        <v>0</v>
      </c>
      <c r="G22" s="30">
        <f>COUNTIFS(Incident_Data!$F$2:$F$181,$A22,Incident_Data!$L$2:$L$181,G$18)</f>
        <v>0</v>
      </c>
      <c r="H22" s="30">
        <f>COUNTIFS(Incident_Data!$F$2:$F$181,$A22,Incident_Data!$L$2:$L$181,H$18)</f>
        <v>0</v>
      </c>
      <c r="I22" s="30">
        <f>COUNTIFS(Incident_Data!$F$2:$F$181,$A22,Incident_Data!$L$2:$L$181,I$18)</f>
        <v>4</v>
      </c>
      <c r="J22" s="30">
        <f>COUNTIFS(Incident_Data!$F$2:$F$181,$A22,Incident_Data!$L$2:$L$181,J$18)</f>
        <v>0</v>
      </c>
      <c r="K22" s="30">
        <f t="shared" si="0"/>
        <v>25</v>
      </c>
    </row>
    <row r="23" spans="1:11">
      <c r="A23" s="29" t="s">
        <v>74</v>
      </c>
      <c r="B23" s="30">
        <f>COUNTIFS(Incident_Data!$F$2:$F$181,$A23,Incident_Data!$L$2:$L$181,B$18)</f>
        <v>10</v>
      </c>
      <c r="C23" s="30">
        <f>COUNTIFS(Incident_Data!$F$2:$F$181,$A23,Incident_Data!$L$2:$L$181,C$18)</f>
        <v>0</v>
      </c>
      <c r="D23" s="30">
        <f>COUNTIFS(Incident_Data!$F$2:$F$181,$A23,Incident_Data!$L$2:$L$181,D$18)</f>
        <v>6</v>
      </c>
      <c r="E23" s="30">
        <f>COUNTIFS(Incident_Data!$F$2:$F$181,$A23,Incident_Data!$L$2:$L$181,E$18)</f>
        <v>0</v>
      </c>
      <c r="F23" s="30">
        <f>COUNTIFS(Incident_Data!$F$2:$F$181,$A23,Incident_Data!$L$2:$L$181,F$18)</f>
        <v>0</v>
      </c>
      <c r="G23" s="30">
        <f>COUNTIFS(Incident_Data!$F$2:$F$181,$A23,Incident_Data!$L$2:$L$181,G$18)</f>
        <v>10</v>
      </c>
      <c r="H23" s="30">
        <f>COUNTIFS(Incident_Data!$F$2:$F$181,$A23,Incident_Data!$L$2:$L$181,H$18)</f>
        <v>0</v>
      </c>
      <c r="I23" s="30">
        <f>COUNTIFS(Incident_Data!$F$2:$F$181,$A23,Incident_Data!$L$2:$L$181,I$18)</f>
        <v>0</v>
      </c>
      <c r="J23" s="30">
        <f>COUNTIFS(Incident_Data!$F$2:$F$181,$A23,Incident_Data!$L$2:$L$181,J$18)</f>
        <v>0</v>
      </c>
      <c r="K23" s="30">
        <f t="shared" si="0"/>
        <v>26</v>
      </c>
    </row>
    <row r="24" spans="1:11">
      <c r="A24" s="29" t="s">
        <v>183</v>
      </c>
      <c r="B24" s="30">
        <f>COUNTIFS(Incident_Data!$F$2:$F$181,$A24,Incident_Data!$L$2:$L$181,B$18)</f>
        <v>3</v>
      </c>
      <c r="C24" s="30">
        <f>COUNTIFS(Incident_Data!$F$2:$F$181,$A24,Incident_Data!$L$2:$L$181,C$18)</f>
        <v>0</v>
      </c>
      <c r="D24" s="30">
        <f>COUNTIFS(Incident_Data!$F$2:$F$181,$A24,Incident_Data!$L$2:$L$181,D$18)</f>
        <v>4</v>
      </c>
      <c r="E24" s="30">
        <f>COUNTIFS(Incident_Data!$F$2:$F$181,$A24,Incident_Data!$L$2:$L$181,E$18)</f>
        <v>0</v>
      </c>
      <c r="F24" s="30">
        <f>COUNTIFS(Incident_Data!$F$2:$F$181,$A24,Incident_Data!$L$2:$L$181,F$18)</f>
        <v>3</v>
      </c>
      <c r="G24" s="30">
        <f>COUNTIFS(Incident_Data!$F$2:$F$181,$A24,Incident_Data!$L$2:$L$181,G$18)</f>
        <v>0</v>
      </c>
      <c r="H24" s="30">
        <f>COUNTIFS(Incident_Data!$F$2:$F$181,$A24,Incident_Data!$L$2:$L$181,H$18)</f>
        <v>0</v>
      </c>
      <c r="I24" s="30">
        <f>COUNTIFS(Incident_Data!$F$2:$F$181,$A24,Incident_Data!$L$2:$L$181,I$18)</f>
        <v>0</v>
      </c>
      <c r="J24" s="30">
        <f>COUNTIFS(Incident_Data!$F$2:$F$181,$A24,Incident_Data!$L$2:$L$181,J$18)</f>
        <v>0</v>
      </c>
      <c r="K24" s="30">
        <f t="shared" si="0"/>
        <v>10</v>
      </c>
    </row>
    <row r="25" spans="1:11">
      <c r="A25" s="29" t="s">
        <v>191</v>
      </c>
      <c r="B25" s="30">
        <f>COUNTIFS(Incident_Data!$F$2:$F$181,$A25,Incident_Data!$L$2:$L$181,B$18)</f>
        <v>3</v>
      </c>
      <c r="C25" s="30">
        <f>COUNTIFS(Incident_Data!$F$2:$F$181,$A25,Incident_Data!$L$2:$L$181,C$18)</f>
        <v>1</v>
      </c>
      <c r="D25" s="30">
        <f>COUNTIFS(Incident_Data!$F$2:$F$181,$A25,Incident_Data!$L$2:$L$181,D$18)</f>
        <v>0</v>
      </c>
      <c r="E25" s="30">
        <f>COUNTIFS(Incident_Data!$F$2:$F$181,$A25,Incident_Data!$L$2:$L$181,E$18)</f>
        <v>0</v>
      </c>
      <c r="F25" s="30">
        <f>COUNTIFS(Incident_Data!$F$2:$F$181,$A25,Incident_Data!$L$2:$L$181,F$18)</f>
        <v>0</v>
      </c>
      <c r="G25" s="30">
        <f>COUNTIFS(Incident_Data!$F$2:$F$181,$A25,Incident_Data!$L$2:$L$181,G$18)</f>
        <v>0</v>
      </c>
      <c r="H25" s="30">
        <f>COUNTIFS(Incident_Data!$F$2:$F$181,$A25,Incident_Data!$L$2:$L$181,H$18)</f>
        <v>4</v>
      </c>
      <c r="I25" s="30">
        <f>COUNTIFS(Incident_Data!$F$2:$F$181,$A25,Incident_Data!$L$2:$L$181,I$18)</f>
        <v>0</v>
      </c>
      <c r="J25" s="30">
        <f>COUNTIFS(Incident_Data!$F$2:$F$181,$A25,Incident_Data!$L$2:$L$181,J$18)</f>
        <v>0</v>
      </c>
      <c r="K25" s="30">
        <f t="shared" si="0"/>
        <v>8</v>
      </c>
    </row>
    <row r="26" spans="1:11">
      <c r="A26" s="29" t="s">
        <v>176</v>
      </c>
      <c r="B26" s="30">
        <f>COUNTIFS(Incident_Data!$F$2:$F$181,$A26,Incident_Data!$L$2:$L$181,B$18)</f>
        <v>5</v>
      </c>
      <c r="C26" s="30">
        <f>COUNTIFS(Incident_Data!$F$2:$F$181,$A26,Incident_Data!$L$2:$L$181,C$18)</f>
        <v>3</v>
      </c>
      <c r="D26" s="30">
        <f>COUNTIFS(Incident_Data!$F$2:$F$181,$A26,Incident_Data!$L$2:$L$181,D$18)</f>
        <v>0</v>
      </c>
      <c r="E26" s="30">
        <f>COUNTIFS(Incident_Data!$F$2:$F$181,$A26,Incident_Data!$L$2:$L$181,E$18)</f>
        <v>0</v>
      </c>
      <c r="F26" s="30">
        <f>COUNTIFS(Incident_Data!$F$2:$F$181,$A26,Incident_Data!$L$2:$L$181,F$18)</f>
        <v>0</v>
      </c>
      <c r="G26" s="30">
        <f>COUNTIFS(Incident_Data!$F$2:$F$181,$A26,Incident_Data!$L$2:$L$181,G$18)</f>
        <v>0</v>
      </c>
      <c r="H26" s="30">
        <f>COUNTIFS(Incident_Data!$F$2:$F$181,$A26,Incident_Data!$L$2:$L$181,H$18)</f>
        <v>2</v>
      </c>
      <c r="I26" s="30">
        <f>COUNTIFS(Incident_Data!$F$2:$F$181,$A26,Incident_Data!$L$2:$L$181,I$18)</f>
        <v>0</v>
      </c>
      <c r="J26" s="30">
        <f>COUNTIFS(Incident_Data!$F$2:$F$181,$A26,Incident_Data!$L$2:$L$181,J$18)</f>
        <v>0</v>
      </c>
      <c r="K26" s="30">
        <f t="shared" si="0"/>
        <v>10</v>
      </c>
    </row>
    <row r="27" spans="1:11">
      <c r="A27" s="29" t="s">
        <v>215</v>
      </c>
      <c r="B27" s="30">
        <f>COUNTIFS(Incident_Data!$F$2:$F$181,$A27,Incident_Data!$L$2:$L$181,B$18)</f>
        <v>3</v>
      </c>
      <c r="C27" s="30">
        <f>COUNTIFS(Incident_Data!$F$2:$F$181,$A27,Incident_Data!$L$2:$L$181,C$18)</f>
        <v>0</v>
      </c>
      <c r="D27" s="30">
        <f>COUNTIFS(Incident_Data!$F$2:$F$181,$A27,Incident_Data!$L$2:$L$181,D$18)</f>
        <v>2</v>
      </c>
      <c r="E27" s="30">
        <f>COUNTIFS(Incident_Data!$F$2:$F$181,$A27,Incident_Data!$L$2:$L$181,E$18)</f>
        <v>0</v>
      </c>
      <c r="F27" s="30">
        <f>COUNTIFS(Incident_Data!$F$2:$F$181,$A27,Incident_Data!$L$2:$L$181,F$18)</f>
        <v>0</v>
      </c>
      <c r="G27" s="30">
        <f>COUNTIFS(Incident_Data!$F$2:$F$181,$A27,Incident_Data!$L$2:$L$181,G$18)</f>
        <v>0</v>
      </c>
      <c r="H27" s="30">
        <f>COUNTIFS(Incident_Data!$F$2:$F$181,$A27,Incident_Data!$L$2:$L$181,H$18)</f>
        <v>0</v>
      </c>
      <c r="I27" s="30">
        <f>COUNTIFS(Incident_Data!$F$2:$F$181,$A27,Incident_Data!$L$2:$L$181,I$18)</f>
        <v>0</v>
      </c>
      <c r="J27" s="30">
        <f>COUNTIFS(Incident_Data!$F$2:$F$181,$A27,Incident_Data!$L$2:$L$181,J$18)</f>
        <v>1</v>
      </c>
      <c r="K27" s="30">
        <f t="shared" si="0"/>
        <v>6</v>
      </c>
    </row>
    <row r="28" spans="1:11">
      <c r="A28" s="32" t="s">
        <v>368</v>
      </c>
      <c r="B28" s="33">
        <f t="shared" ref="B28:K28" si="1">SUM(B19:B27)</f>
        <v>56</v>
      </c>
      <c r="C28" s="33">
        <f t="shared" si="1"/>
        <v>44</v>
      </c>
      <c r="D28" s="33">
        <f t="shared" si="1"/>
        <v>33</v>
      </c>
      <c r="E28" s="33">
        <f t="shared" si="1"/>
        <v>14</v>
      </c>
      <c r="F28" s="33">
        <f t="shared" si="1"/>
        <v>12</v>
      </c>
      <c r="G28" s="33">
        <f t="shared" si="1"/>
        <v>10</v>
      </c>
      <c r="H28" s="33">
        <f t="shared" si="1"/>
        <v>6</v>
      </c>
      <c r="I28" s="33">
        <f t="shared" si="1"/>
        <v>4</v>
      </c>
      <c r="J28" s="33">
        <f t="shared" si="1"/>
        <v>1</v>
      </c>
      <c r="K28" s="33">
        <f t="shared" si="1"/>
        <v>180</v>
      </c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ht="15">
      <c r="A30" s="27" t="s">
        <v>400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31.5" customHeight="1">
      <c r="A31" s="28" t="s">
        <v>2</v>
      </c>
      <c r="B31" s="28" t="s">
        <v>370</v>
      </c>
      <c r="C31" s="28" t="s">
        <v>401</v>
      </c>
      <c r="D31" s="28" t="s">
        <v>402</v>
      </c>
      <c r="E31" s="16"/>
      <c r="F31" s="16"/>
      <c r="G31" s="16"/>
      <c r="H31" s="16"/>
      <c r="I31" s="16"/>
      <c r="J31" s="16"/>
      <c r="K31" s="16"/>
    </row>
    <row r="32" spans="1:11">
      <c r="A32" s="29" t="s">
        <v>17</v>
      </c>
      <c r="B32" s="30">
        <f>COUNTIF(Incident_Data!$C$2:$C$181,A32)</f>
        <v>28</v>
      </c>
      <c r="C32" s="30">
        <f>COUNTIFS(Incident_Data!$C$2:$C$181,A32,Incident_Data!$L$2:$L$181,"&lt;&gt;None")</f>
        <v>19</v>
      </c>
      <c r="D32" s="31">
        <f t="shared" ref="D32:D44" si="2">C32/B32</f>
        <v>0.6785714285714286</v>
      </c>
      <c r="E32" s="16"/>
      <c r="F32" s="16"/>
      <c r="G32" s="16"/>
      <c r="H32" s="16"/>
      <c r="I32" s="16"/>
      <c r="J32" s="16"/>
      <c r="K32" s="16"/>
    </row>
    <row r="33" spans="1:11">
      <c r="A33" s="29" t="s">
        <v>55</v>
      </c>
      <c r="B33" s="30">
        <f>COUNTIF(Incident_Data!$C$2:$C$181,A33)</f>
        <v>28</v>
      </c>
      <c r="C33" s="30">
        <f>COUNTIFS(Incident_Data!$C$2:$C$181,A33,Incident_Data!$L$2:$L$181,"&lt;&gt;None")</f>
        <v>25</v>
      </c>
      <c r="D33" s="31">
        <f t="shared" si="2"/>
        <v>0.8928571428571429</v>
      </c>
      <c r="E33" s="16"/>
      <c r="F33" s="16"/>
      <c r="G33" s="16"/>
      <c r="H33" s="16"/>
      <c r="I33" s="16"/>
      <c r="J33" s="16"/>
      <c r="K33" s="16"/>
    </row>
    <row r="34" spans="1:11">
      <c r="A34" s="29" t="s">
        <v>68</v>
      </c>
      <c r="B34" s="30">
        <f>COUNTIF(Incident_Data!$C$2:$C$181,A34)</f>
        <v>27</v>
      </c>
      <c r="C34" s="30">
        <f>COUNTIFS(Incident_Data!$C$2:$C$181,A34,Incident_Data!$L$2:$L$181,"&lt;&gt;None")</f>
        <v>21</v>
      </c>
      <c r="D34" s="31">
        <f t="shared" si="2"/>
        <v>0.77777777777777779</v>
      </c>
      <c r="E34" s="16"/>
      <c r="F34" s="16"/>
      <c r="G34" s="16"/>
      <c r="H34" s="16"/>
      <c r="I34" s="16"/>
      <c r="J34" s="16"/>
      <c r="K34" s="16"/>
    </row>
    <row r="35" spans="1:11">
      <c r="A35" s="29" t="s">
        <v>60</v>
      </c>
      <c r="B35" s="30">
        <f>COUNTIF(Incident_Data!$C$2:$C$181,A35)</f>
        <v>24</v>
      </c>
      <c r="C35" s="30">
        <f>COUNTIFS(Incident_Data!$C$2:$C$181,A35,Incident_Data!$L$2:$L$181,"&lt;&gt;None")</f>
        <v>15</v>
      </c>
      <c r="D35" s="31">
        <f t="shared" si="2"/>
        <v>0.625</v>
      </c>
      <c r="E35" s="16"/>
      <c r="F35" s="16"/>
      <c r="G35" s="16"/>
      <c r="H35" s="16"/>
      <c r="I35" s="16"/>
      <c r="J35" s="16"/>
      <c r="K35" s="16"/>
    </row>
    <row r="36" spans="1:11">
      <c r="A36" s="29" t="s">
        <v>29</v>
      </c>
      <c r="B36" s="30">
        <f>COUNTIF(Incident_Data!$C$2:$C$181,A36)</f>
        <v>19</v>
      </c>
      <c r="C36" s="30">
        <f>COUNTIFS(Incident_Data!$C$2:$C$181,A36,Incident_Data!$L$2:$L$181,"&lt;&gt;None")</f>
        <v>13</v>
      </c>
      <c r="D36" s="31">
        <f t="shared" si="2"/>
        <v>0.68421052631578949</v>
      </c>
      <c r="E36" s="16"/>
      <c r="F36" s="16"/>
      <c r="G36" s="16"/>
      <c r="H36" s="16"/>
      <c r="I36" s="16"/>
      <c r="J36" s="16"/>
      <c r="K36" s="16"/>
    </row>
    <row r="37" spans="1:11">
      <c r="A37" s="29" t="s">
        <v>46</v>
      </c>
      <c r="B37" s="30">
        <f>COUNTIF(Incident_Data!$C$2:$C$181,A37)</f>
        <v>19</v>
      </c>
      <c r="C37" s="30">
        <f>COUNTIFS(Incident_Data!$C$2:$C$181,A37,Incident_Data!$L$2:$L$181,"&lt;&gt;None")</f>
        <v>16</v>
      </c>
      <c r="D37" s="31">
        <f t="shared" si="2"/>
        <v>0.84210526315789469</v>
      </c>
      <c r="E37" s="16"/>
      <c r="F37" s="16"/>
      <c r="G37" s="16"/>
      <c r="H37" s="16"/>
      <c r="I37" s="16"/>
      <c r="J37" s="16"/>
      <c r="K37" s="16"/>
    </row>
    <row r="38" spans="1:11">
      <c r="A38" s="29" t="s">
        <v>224</v>
      </c>
      <c r="B38" s="30">
        <f>COUNTIF(Incident_Data!$C$2:$C$181,A38)</f>
        <v>11</v>
      </c>
      <c r="C38" s="30">
        <f>COUNTIFS(Incident_Data!$C$2:$C$181,A38,Incident_Data!$L$2:$L$181,"&lt;&gt;None")</f>
        <v>9</v>
      </c>
      <c r="D38" s="31">
        <f t="shared" si="2"/>
        <v>0.81818181818181823</v>
      </c>
      <c r="E38" s="16"/>
      <c r="F38" s="16"/>
      <c r="G38" s="16"/>
      <c r="H38" s="16"/>
      <c r="I38" s="16"/>
      <c r="J38" s="16"/>
      <c r="K38" s="16"/>
    </row>
    <row r="39" spans="1:11">
      <c r="A39" s="29" t="s">
        <v>203</v>
      </c>
      <c r="B39" s="30">
        <f>COUNTIF(Incident_Data!$C$2:$C$181,A39)</f>
        <v>9</v>
      </c>
      <c r="C39" s="30">
        <f>COUNTIFS(Incident_Data!$C$2:$C$181,A39,Incident_Data!$L$2:$L$181,"&lt;&gt;None")</f>
        <v>7</v>
      </c>
      <c r="D39" s="31">
        <f t="shared" si="2"/>
        <v>0.77777777777777779</v>
      </c>
      <c r="E39" s="16"/>
      <c r="F39" s="16"/>
      <c r="G39" s="16"/>
      <c r="H39" s="16"/>
      <c r="I39" s="16"/>
      <c r="J39" s="16"/>
      <c r="K39" s="16"/>
    </row>
    <row r="40" spans="1:11">
      <c r="A40" s="29" t="s">
        <v>185</v>
      </c>
      <c r="B40" s="30">
        <f>COUNTIF(Incident_Data!$C$2:$C$181,A40)</f>
        <v>6</v>
      </c>
      <c r="C40" s="30">
        <f>COUNTIFS(Incident_Data!$C$2:$C$181,A40,Incident_Data!$L$2:$L$181,"&lt;&gt;None")</f>
        <v>3</v>
      </c>
      <c r="D40" s="31">
        <f t="shared" si="2"/>
        <v>0.5</v>
      </c>
      <c r="E40" s="16"/>
      <c r="F40" s="16"/>
      <c r="G40" s="16"/>
      <c r="H40" s="16"/>
      <c r="I40" s="16"/>
      <c r="J40" s="16"/>
      <c r="K40" s="16"/>
    </row>
    <row r="41" spans="1:11">
      <c r="A41" s="29" t="s">
        <v>194</v>
      </c>
      <c r="B41" s="30">
        <f>COUNTIF(Incident_Data!$C$2:$C$181,A41)</f>
        <v>5</v>
      </c>
      <c r="C41" s="30">
        <f>COUNTIFS(Incident_Data!$C$2:$C$181,A41,Incident_Data!$L$2:$L$181,"&lt;&gt;None")</f>
        <v>4</v>
      </c>
      <c r="D41" s="31">
        <f t="shared" si="2"/>
        <v>0.8</v>
      </c>
      <c r="E41" s="16"/>
      <c r="F41" s="16"/>
      <c r="G41" s="16"/>
      <c r="H41" s="16"/>
      <c r="I41" s="16"/>
      <c r="J41" s="16"/>
      <c r="K41" s="16"/>
    </row>
    <row r="42" spans="1:11">
      <c r="A42" s="29" t="s">
        <v>179</v>
      </c>
      <c r="B42" s="30">
        <f>COUNTIF(Incident_Data!$C$2:$C$181,A42)</f>
        <v>3</v>
      </c>
      <c r="C42" s="30">
        <f>COUNTIFS(Incident_Data!$C$2:$C$181,A42,Incident_Data!$L$2:$L$181,"&lt;&gt;None")</f>
        <v>3</v>
      </c>
      <c r="D42" s="31">
        <f t="shared" si="2"/>
        <v>1</v>
      </c>
      <c r="E42" s="16"/>
      <c r="F42" s="16"/>
      <c r="G42" s="16"/>
      <c r="H42" s="16"/>
      <c r="I42" s="16"/>
      <c r="J42" s="16"/>
      <c r="K42" s="16"/>
    </row>
    <row r="43" spans="1:11">
      <c r="A43" s="29" t="s">
        <v>268</v>
      </c>
      <c r="B43" s="30">
        <f>COUNTIF(Incident_Data!$C$2:$C$181,A43)</f>
        <v>1</v>
      </c>
      <c r="C43" s="30">
        <f>COUNTIFS(Incident_Data!$C$2:$C$181,A43,Incident_Data!$L$2:$L$181,"&lt;&gt;None")</f>
        <v>1</v>
      </c>
      <c r="D43" s="31">
        <f t="shared" si="2"/>
        <v>1</v>
      </c>
      <c r="E43" s="16"/>
      <c r="F43" s="16"/>
      <c r="G43" s="16"/>
      <c r="H43" s="16"/>
      <c r="I43" s="16"/>
      <c r="J43" s="16"/>
      <c r="K43" s="16"/>
    </row>
    <row r="44" spans="1:11">
      <c r="A44" s="32" t="s">
        <v>368</v>
      </c>
      <c r="B44" s="33">
        <f>SUM(B32:B43)</f>
        <v>180</v>
      </c>
      <c r="C44" s="33">
        <f>SUM(C32:C43)</f>
        <v>136</v>
      </c>
      <c r="D44" s="34">
        <f t="shared" si="2"/>
        <v>0.75555555555555554</v>
      </c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9"/>
  <sheetViews>
    <sheetView showGridLines="0" zoomScaleNormal="100" workbookViewId="0"/>
  </sheetViews>
  <sheetFormatPr defaultColWidth="8.7109375" defaultRowHeight="12.75"/>
  <cols>
    <col min="1" max="1" width="46" customWidth="1"/>
    <col min="2" max="4" width="18" customWidth="1"/>
  </cols>
  <sheetData>
    <row r="1" spans="1:4" ht="18">
      <c r="A1" s="25" t="s">
        <v>403</v>
      </c>
      <c r="B1" s="16"/>
      <c r="C1" s="16"/>
      <c r="D1" s="16"/>
    </row>
    <row r="2" spans="1:4">
      <c r="A2" s="26" t="s">
        <v>404</v>
      </c>
      <c r="B2" s="16"/>
      <c r="C2" s="16"/>
      <c r="D2" s="16"/>
    </row>
    <row r="3" spans="1:4">
      <c r="A3" s="16"/>
      <c r="B3" s="16"/>
      <c r="C3" s="16"/>
      <c r="D3" s="16"/>
    </row>
    <row r="4" spans="1:4" ht="25.5">
      <c r="A4" s="48" t="s">
        <v>405</v>
      </c>
      <c r="B4" s="48" t="s">
        <v>406</v>
      </c>
      <c r="C4" s="48" t="s">
        <v>407</v>
      </c>
      <c r="D4" s="48" t="s">
        <v>408</v>
      </c>
    </row>
    <row r="5" spans="1:4">
      <c r="A5" s="29" t="s">
        <v>370</v>
      </c>
      <c r="B5" s="30">
        <f>COUNTIF(Incident_Data!$N$2:$N$181,"Yes")</f>
        <v>43</v>
      </c>
      <c r="C5" s="30">
        <f>COUNTIF(Incident_Data!$N$2:$N$181,"No")</f>
        <v>137</v>
      </c>
      <c r="D5" s="30">
        <f t="shared" ref="D5:D19" si="0">B5-C5</f>
        <v>-94</v>
      </c>
    </row>
    <row r="6" spans="1:4">
      <c r="A6" s="29" t="s">
        <v>409</v>
      </c>
      <c r="B6" s="31">
        <f>B5/'Core Analysis'!$B$6</f>
        <v>0.2388888888888889</v>
      </c>
      <c r="C6" s="31">
        <f>C5/'Core Analysis'!$B$6</f>
        <v>0.76111111111111107</v>
      </c>
      <c r="D6" s="31">
        <f t="shared" si="0"/>
        <v>-0.52222222222222214</v>
      </c>
    </row>
    <row r="7" spans="1:4">
      <c r="A7" s="29" t="s">
        <v>410</v>
      </c>
      <c r="B7" s="35">
        <f>AVERAGEIF(Incident_Data!$N$2:$N$181,"Yes",Incident_Data!$I$2:$I$181)</f>
        <v>73699.69767441861</v>
      </c>
      <c r="C7" s="35">
        <f>AVERAGEIF(Incident_Data!$N$2:$N$181,"No",Incident_Data!$I$2:$I$181)</f>
        <v>52002.445255474449</v>
      </c>
      <c r="D7" s="35">
        <f t="shared" si="0"/>
        <v>21697.252418944161</v>
      </c>
    </row>
    <row r="8" spans="1:4">
      <c r="A8" s="29" t="s">
        <v>411</v>
      </c>
      <c r="B8" s="35">
        <f>AVERAGEIFS(Incident_Data!$I$2:$I$181,Incident_Data!$N$2:$N$181,"Yes",Incident_Data!$C$2:$C$181,"&lt;&gt;Third-Party Breach")</f>
        <v>70588.027027027027</v>
      </c>
      <c r="C8" s="35">
        <f>AVERAGEIFS(Incident_Data!$I$2:$I$181,Incident_Data!$N$2:$N$181,"No",Incident_Data!$C$2:$C$181,"&lt;&gt;Third-Party Breach")</f>
        <v>52002.445255474449</v>
      </c>
      <c r="D8" s="35">
        <f t="shared" si="0"/>
        <v>18585.581771552577</v>
      </c>
    </row>
    <row r="9" spans="1:4">
      <c r="A9" s="29" t="s">
        <v>412</v>
      </c>
      <c r="B9" s="49">
        <f>AVERAGEIF(Incident_Data!$N$2:$N$181,"Yes",Incident_Data!$H$2:$H$181)</f>
        <v>12.744186046511627</v>
      </c>
      <c r="C9" s="49">
        <f>AVERAGEIF(Incident_Data!$N$2:$N$181,"No",Incident_Data!$H$2:$H$181)</f>
        <v>14.532846715328468</v>
      </c>
      <c r="D9" s="49">
        <f t="shared" si="0"/>
        <v>-1.7886606688168403</v>
      </c>
    </row>
    <row r="10" spans="1:4">
      <c r="A10" s="29" t="s">
        <v>413</v>
      </c>
      <c r="B10" s="30">
        <f>COUNTIFS(Incident_Data!$N$2:$N$181,"Yes",Incident_Data!$D$2:$D$181,"Critical")</f>
        <v>6</v>
      </c>
      <c r="C10" s="30">
        <f>COUNTIFS(Incident_Data!$N$2:$N$181,"No",Incident_Data!$D$2:$D$181,"Critical")</f>
        <v>14</v>
      </c>
      <c r="D10" s="30">
        <f t="shared" si="0"/>
        <v>-8</v>
      </c>
    </row>
    <row r="11" spans="1:4">
      <c r="A11" s="29" t="s">
        <v>414</v>
      </c>
      <c r="B11" s="31">
        <f>B10/B5</f>
        <v>0.13953488372093023</v>
      </c>
      <c r="C11" s="31">
        <f>C10/C5</f>
        <v>0.10218978102189781</v>
      </c>
      <c r="D11" s="31">
        <f t="shared" si="0"/>
        <v>3.734510269903242E-2</v>
      </c>
    </row>
    <row r="12" spans="1:4">
      <c r="A12" s="29" t="s">
        <v>415</v>
      </c>
      <c r="B12" s="30">
        <f>COUNTIFS(Incident_Data!$N$2:$N$181,"Yes",Incident_Data!$D$2:$D$181,"Critical")+COUNTIFS(Incident_Data!$N$2:$N$181,"Yes",Incident_Data!$D$2:$D$181,"High")</f>
        <v>18</v>
      </c>
      <c r="C12" s="30">
        <f>COUNTIFS(Incident_Data!$N$2:$N$181,"No",Incident_Data!$D$2:$D$181,"Critical")+COUNTIFS(Incident_Data!$N$2:$N$181,"No",Incident_Data!$D$2:$D$181,"High")</f>
        <v>55</v>
      </c>
      <c r="D12" s="30">
        <f t="shared" si="0"/>
        <v>-37</v>
      </c>
    </row>
    <row r="13" spans="1:4">
      <c r="A13" s="29" t="s">
        <v>416</v>
      </c>
      <c r="B13" s="31">
        <f>B12/B5</f>
        <v>0.41860465116279072</v>
      </c>
      <c r="C13" s="31">
        <f>C12/C5</f>
        <v>0.40145985401459855</v>
      </c>
      <c r="D13" s="31">
        <f t="shared" si="0"/>
        <v>1.714479714819217E-2</v>
      </c>
    </row>
    <row r="14" spans="1:4">
      <c r="A14" s="29" t="s">
        <v>417</v>
      </c>
      <c r="B14" s="30">
        <f>COUNTIFS(Incident_Data!$N$2:$N$181,"Yes",Incident_Data!$M$2:$M$181,"Board / Executive")</f>
        <v>6</v>
      </c>
      <c r="C14" s="30">
        <f>COUNTIFS(Incident_Data!$N$2:$N$181,"No",Incident_Data!$M$2:$M$181,"Board / Executive")</f>
        <v>14</v>
      </c>
      <c r="D14" s="30">
        <f t="shared" si="0"/>
        <v>-8</v>
      </c>
    </row>
    <row r="15" spans="1:4">
      <c r="A15" s="29" t="s">
        <v>418</v>
      </c>
      <c r="B15" s="30">
        <f>COUNTIFS(Incident_Data!$N$2:$N$181,"Yes",Incident_Data!$M$2:$M$181,"Executive / CISO")</f>
        <v>12</v>
      </c>
      <c r="C15" s="30">
        <f>COUNTIFS(Incident_Data!$N$2:$N$181,"No",Incident_Data!$M$2:$M$181,"Executive / CISO")</f>
        <v>41</v>
      </c>
      <c r="D15" s="30">
        <f t="shared" si="0"/>
        <v>-29</v>
      </c>
    </row>
    <row r="16" spans="1:4">
      <c r="A16" s="29" t="s">
        <v>419</v>
      </c>
      <c r="B16" s="30">
        <f>COUNTIFS(Incident_Data!$N$2:$N$181,"Yes",Incident_Data!$M$2:$M$181,"CISO / Department Head")</f>
        <v>19</v>
      </c>
      <c r="C16" s="30">
        <f>COUNTIFS(Incident_Data!$N$2:$N$181,"No",Incident_Data!$M$2:$M$181,"CISO / Department Head")</f>
        <v>61</v>
      </c>
      <c r="D16" s="30">
        <f t="shared" si="0"/>
        <v>-42</v>
      </c>
    </row>
    <row r="17" spans="1:4">
      <c r="A17" s="29" t="s">
        <v>420</v>
      </c>
      <c r="B17" s="30">
        <f>COUNTIFS(Incident_Data!$N$2:$N$181,"Yes",Incident_Data!$M$2:$M$181,"Operational")</f>
        <v>6</v>
      </c>
      <c r="C17" s="30">
        <f>COUNTIFS(Incident_Data!$N$2:$N$181,"No",Incident_Data!$M$2:$M$181,"Operational")</f>
        <v>21</v>
      </c>
      <c r="D17" s="30">
        <f t="shared" si="0"/>
        <v>-15</v>
      </c>
    </row>
    <row r="18" spans="1:4">
      <c r="A18" s="29" t="s">
        <v>421</v>
      </c>
      <c r="B18" s="31">
        <f>B14/B5</f>
        <v>0.13953488372093023</v>
      </c>
      <c r="C18" s="31">
        <f>C14/C5</f>
        <v>0.10218978102189781</v>
      </c>
      <c r="D18" s="31">
        <f t="shared" si="0"/>
        <v>3.734510269903242E-2</v>
      </c>
    </row>
    <row r="19" spans="1:4">
      <c r="A19" s="29" t="s">
        <v>389</v>
      </c>
      <c r="B19" s="31">
        <f>COUNTIFS(Incident_Data!$N$2:$N$181,"Yes",Incident_Data!$P$2:$P$181,"Yes")/B5</f>
        <v>0.2558139534883721</v>
      </c>
      <c r="C19" s="31">
        <f>COUNTIFS(Incident_Data!$N$2:$N$181,"No",Incident_Data!$P$2:$P$181,"Yes")/C5</f>
        <v>0.31386861313868614</v>
      </c>
      <c r="D19" s="31">
        <f t="shared" si="0"/>
        <v>-5.8054659650314033E-2</v>
      </c>
    </row>
    <row r="20" spans="1:4">
      <c r="A20" s="16"/>
      <c r="B20" s="16"/>
      <c r="C20" s="16"/>
      <c r="D20" s="16"/>
    </row>
    <row r="21" spans="1:4" ht="15">
      <c r="A21" s="27" t="s">
        <v>422</v>
      </c>
      <c r="B21" s="16"/>
      <c r="C21" s="16"/>
      <c r="D21" s="16"/>
    </row>
    <row r="22" spans="1:4">
      <c r="A22" s="29" t="s">
        <v>423</v>
      </c>
      <c r="B22" s="30">
        <f>(SUMPRODUCT((Incident_Data!$N$2:$N$181="Yes")*(Incident_Data!$I$2:$I$181-B7)^2)/(COUNTIF(Incident_Data!$N$2:$N$181,"Yes")-1))</f>
        <v>2319097610.8349948</v>
      </c>
      <c r="C22" s="16"/>
      <c r="D22" s="16"/>
    </row>
    <row r="23" spans="1:4">
      <c r="A23" s="29" t="s">
        <v>424</v>
      </c>
      <c r="B23" s="30">
        <f>(SUMPRODUCT((Incident_Data!$N$2:$N$181="No")*(Incident_Data!$I$2:$I$181-C7)^2)/(COUNTIF(Incident_Data!$N$2:$N$181,"No")-1))</f>
        <v>1098416671.9547019</v>
      </c>
      <c r="C23" s="16"/>
      <c r="D23" s="16"/>
    </row>
    <row r="24" spans="1:4">
      <c r="A24" s="29" t="s">
        <v>425</v>
      </c>
      <c r="B24" s="49">
        <f>(B7-C7)/SQRT(B22/B5+B23/C5)</f>
        <v>2.7566624247512936</v>
      </c>
      <c r="C24" s="16"/>
      <c r="D24" s="16"/>
    </row>
    <row r="25" spans="1:4">
      <c r="A25" s="29" t="s">
        <v>426</v>
      </c>
      <c r="B25" s="49">
        <f>(B22/B5+B23/C5)^2/((B22/B5)^2/(B5-1)+(B23/C5)^2/(C5-1))</f>
        <v>55.040044411096993</v>
      </c>
      <c r="C25" s="16"/>
      <c r="D25" s="16"/>
    </row>
    <row r="26" spans="1:4">
      <c r="A26" s="29" t="s">
        <v>427</v>
      </c>
      <c r="B26" s="50">
        <f>TDIST(ABS(B24),ROUNDDOWN(B25,0),2)</f>
        <v>7.9073603271234798E-3</v>
      </c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  <row r="29" spans="1:4" ht="15">
      <c r="A29" s="27" t="s">
        <v>428</v>
      </c>
      <c r="B29" s="16"/>
      <c r="C29" s="16"/>
      <c r="D29" s="16"/>
    </row>
    <row r="30" spans="1:4" ht="31.5" customHeight="1">
      <c r="A30" s="28" t="s">
        <v>2</v>
      </c>
      <c r="B30" s="28" t="s">
        <v>406</v>
      </c>
      <c r="C30" s="28" t="s">
        <v>407</v>
      </c>
      <c r="D30" s="28" t="s">
        <v>429</v>
      </c>
    </row>
    <row r="31" spans="1:4">
      <c r="A31" s="29" t="s">
        <v>17</v>
      </c>
      <c r="B31" s="30">
        <f>COUNTIFS(Incident_Data!$C$2:$C$181,A31,Incident_Data!$N$2:$N$181,"Yes")</f>
        <v>3</v>
      </c>
      <c r="C31" s="30">
        <f>COUNTIFS(Incident_Data!$C$2:$C$181,A31,Incident_Data!$N$2:$N$181,"No")</f>
        <v>25</v>
      </c>
      <c r="D31" s="31">
        <f t="shared" ref="D31:D43" si="1">B31/(B31+C31)</f>
        <v>0.10714285714285714</v>
      </c>
    </row>
    <row r="32" spans="1:4">
      <c r="A32" s="29" t="s">
        <v>55</v>
      </c>
      <c r="B32" s="30">
        <f>COUNTIFS(Incident_Data!$C$2:$C$181,A32,Incident_Data!$N$2:$N$181,"Yes")</f>
        <v>1</v>
      </c>
      <c r="C32" s="30">
        <f>COUNTIFS(Incident_Data!$C$2:$C$181,A32,Incident_Data!$N$2:$N$181,"No")</f>
        <v>27</v>
      </c>
      <c r="D32" s="31">
        <f t="shared" si="1"/>
        <v>3.5714285714285712E-2</v>
      </c>
    </row>
    <row r="33" spans="1:4">
      <c r="A33" s="29" t="s">
        <v>68</v>
      </c>
      <c r="B33" s="30">
        <f>COUNTIFS(Incident_Data!$C$2:$C$181,A33,Incident_Data!$N$2:$N$181,"Yes")</f>
        <v>9</v>
      </c>
      <c r="C33" s="30">
        <f>COUNTIFS(Incident_Data!$C$2:$C$181,A33,Incident_Data!$N$2:$N$181,"No")</f>
        <v>18</v>
      </c>
      <c r="D33" s="31">
        <f t="shared" si="1"/>
        <v>0.33333333333333331</v>
      </c>
    </row>
    <row r="34" spans="1:4">
      <c r="A34" s="29" t="s">
        <v>60</v>
      </c>
      <c r="B34" s="30">
        <f>COUNTIFS(Incident_Data!$C$2:$C$181,A34,Incident_Data!$N$2:$N$181,"Yes")</f>
        <v>1</v>
      </c>
      <c r="C34" s="30">
        <f>COUNTIFS(Incident_Data!$C$2:$C$181,A34,Incident_Data!$N$2:$N$181,"No")</f>
        <v>23</v>
      </c>
      <c r="D34" s="31">
        <f t="shared" si="1"/>
        <v>4.1666666666666664E-2</v>
      </c>
    </row>
    <row r="35" spans="1:4">
      <c r="A35" s="29" t="s">
        <v>29</v>
      </c>
      <c r="B35" s="30">
        <f>COUNTIFS(Incident_Data!$C$2:$C$181,A35,Incident_Data!$N$2:$N$181,"Yes")</f>
        <v>4</v>
      </c>
      <c r="C35" s="30">
        <f>COUNTIFS(Incident_Data!$C$2:$C$181,A35,Incident_Data!$N$2:$N$181,"No")</f>
        <v>15</v>
      </c>
      <c r="D35" s="31">
        <f t="shared" si="1"/>
        <v>0.21052631578947367</v>
      </c>
    </row>
    <row r="36" spans="1:4">
      <c r="A36" s="29" t="s">
        <v>46</v>
      </c>
      <c r="B36" s="30">
        <f>COUNTIFS(Incident_Data!$C$2:$C$181,A36,Incident_Data!$N$2:$N$181,"Yes")</f>
        <v>7</v>
      </c>
      <c r="C36" s="30">
        <f>COUNTIFS(Incident_Data!$C$2:$C$181,A36,Incident_Data!$N$2:$N$181,"No")</f>
        <v>12</v>
      </c>
      <c r="D36" s="31">
        <f t="shared" si="1"/>
        <v>0.36842105263157893</v>
      </c>
    </row>
    <row r="37" spans="1:4">
      <c r="A37" s="29" t="s">
        <v>224</v>
      </c>
      <c r="B37" s="30">
        <f>COUNTIFS(Incident_Data!$C$2:$C$181,A37,Incident_Data!$N$2:$N$181,"Yes")</f>
        <v>11</v>
      </c>
      <c r="C37" s="30">
        <f>COUNTIFS(Incident_Data!$C$2:$C$181,A37,Incident_Data!$N$2:$N$181,"No")</f>
        <v>0</v>
      </c>
      <c r="D37" s="31">
        <f t="shared" si="1"/>
        <v>1</v>
      </c>
    </row>
    <row r="38" spans="1:4">
      <c r="A38" s="29" t="s">
        <v>203</v>
      </c>
      <c r="B38" s="30">
        <f>COUNTIFS(Incident_Data!$C$2:$C$181,A38,Incident_Data!$N$2:$N$181,"Yes")</f>
        <v>1</v>
      </c>
      <c r="C38" s="30">
        <f>COUNTIFS(Incident_Data!$C$2:$C$181,A38,Incident_Data!$N$2:$N$181,"No")</f>
        <v>8</v>
      </c>
      <c r="D38" s="31">
        <f t="shared" si="1"/>
        <v>0.1111111111111111</v>
      </c>
    </row>
    <row r="39" spans="1:4">
      <c r="A39" s="29" t="s">
        <v>185</v>
      </c>
      <c r="B39" s="30">
        <f>COUNTIFS(Incident_Data!$C$2:$C$181,A39,Incident_Data!$N$2:$N$181,"Yes")</f>
        <v>6</v>
      </c>
      <c r="C39" s="30">
        <f>COUNTIFS(Incident_Data!$C$2:$C$181,A39,Incident_Data!$N$2:$N$181,"No")</f>
        <v>0</v>
      </c>
      <c r="D39" s="31">
        <f t="shared" si="1"/>
        <v>1</v>
      </c>
    </row>
    <row r="40" spans="1:4">
      <c r="A40" s="29" t="s">
        <v>194</v>
      </c>
      <c r="B40" s="30">
        <f>COUNTIFS(Incident_Data!$C$2:$C$181,A40,Incident_Data!$N$2:$N$181,"Yes")</f>
        <v>0</v>
      </c>
      <c r="C40" s="30">
        <f>COUNTIFS(Incident_Data!$C$2:$C$181,A40,Incident_Data!$N$2:$N$181,"No")</f>
        <v>5</v>
      </c>
      <c r="D40" s="31">
        <f t="shared" si="1"/>
        <v>0</v>
      </c>
    </row>
    <row r="41" spans="1:4">
      <c r="A41" s="29" t="s">
        <v>179</v>
      </c>
      <c r="B41" s="30">
        <f>COUNTIFS(Incident_Data!$C$2:$C$181,A41,Incident_Data!$N$2:$N$181,"Yes")</f>
        <v>0</v>
      </c>
      <c r="C41" s="30">
        <f>COUNTIFS(Incident_Data!$C$2:$C$181,A41,Incident_Data!$N$2:$N$181,"No")</f>
        <v>3</v>
      </c>
      <c r="D41" s="31">
        <f t="shared" si="1"/>
        <v>0</v>
      </c>
    </row>
    <row r="42" spans="1:4">
      <c r="A42" s="29" t="s">
        <v>268</v>
      </c>
      <c r="B42" s="30">
        <f>COUNTIFS(Incident_Data!$C$2:$C$181,A42,Incident_Data!$N$2:$N$181,"Yes")</f>
        <v>0</v>
      </c>
      <c r="C42" s="30">
        <f>COUNTIFS(Incident_Data!$C$2:$C$181,A42,Incident_Data!$N$2:$N$181,"No")</f>
        <v>1</v>
      </c>
      <c r="D42" s="31">
        <f t="shared" si="1"/>
        <v>0</v>
      </c>
    </row>
    <row r="43" spans="1:4">
      <c r="A43" s="32" t="s">
        <v>368</v>
      </c>
      <c r="B43" s="33">
        <f>SUM(B31:B42)</f>
        <v>43</v>
      </c>
      <c r="C43" s="33">
        <f>SUM(C31:C42)</f>
        <v>137</v>
      </c>
      <c r="D43" s="34">
        <f t="shared" si="1"/>
        <v>0.2388888888888889</v>
      </c>
    </row>
    <row r="44" spans="1:4">
      <c r="A44" s="16"/>
      <c r="B44" s="16"/>
      <c r="C44" s="16"/>
      <c r="D44" s="16"/>
    </row>
    <row r="45" spans="1:4">
      <c r="A45" s="16"/>
      <c r="B45" s="16"/>
      <c r="C45" s="16"/>
      <c r="D45" s="16"/>
    </row>
    <row r="46" spans="1:4">
      <c r="A46" s="16"/>
      <c r="B46" s="16"/>
      <c r="C46" s="16"/>
      <c r="D46" s="16"/>
    </row>
    <row r="47" spans="1:4">
      <c r="A47" s="16"/>
      <c r="B47" s="16"/>
      <c r="C47" s="16"/>
      <c r="D47" s="16"/>
    </row>
    <row r="48" spans="1:4">
      <c r="A48" s="16"/>
      <c r="B48" s="16"/>
      <c r="C48" s="16"/>
      <c r="D48" s="16"/>
    </row>
    <row r="49" spans="1:4">
      <c r="A49" s="16"/>
      <c r="B49" s="16"/>
      <c r="C49" s="16"/>
      <c r="D49" s="16"/>
    </row>
    <row r="50" spans="1:4">
      <c r="A50" s="16"/>
      <c r="B50" s="16"/>
      <c r="C50" s="16"/>
      <c r="D50" s="16"/>
    </row>
    <row r="51" spans="1:4">
      <c r="A51" s="16"/>
      <c r="B51" s="16"/>
      <c r="C51" s="16"/>
      <c r="D51" s="16"/>
    </row>
    <row r="52" spans="1:4">
      <c r="A52" s="16"/>
      <c r="B52" s="16"/>
      <c r="C52" s="16"/>
      <c r="D52" s="16"/>
    </row>
    <row r="53" spans="1:4">
      <c r="A53" s="16"/>
      <c r="B53" s="16"/>
      <c r="C53" s="16"/>
      <c r="D53" s="16"/>
    </row>
    <row r="54" spans="1:4">
      <c r="A54" s="16"/>
      <c r="B54" s="16"/>
      <c r="C54" s="16"/>
      <c r="D54" s="16"/>
    </row>
    <row r="55" spans="1:4">
      <c r="A55" s="16"/>
      <c r="B55" s="16"/>
      <c r="C55" s="16"/>
      <c r="D55" s="16"/>
    </row>
    <row r="56" spans="1:4">
      <c r="A56" s="16"/>
      <c r="B56" s="16"/>
      <c r="C56" s="16"/>
      <c r="D56" s="16"/>
    </row>
    <row r="57" spans="1:4">
      <c r="A57" s="16"/>
      <c r="B57" s="16"/>
      <c r="C57" s="16"/>
      <c r="D57" s="16"/>
    </row>
    <row r="58" spans="1:4">
      <c r="A58" s="16"/>
      <c r="B58" s="16"/>
      <c r="C58" s="16"/>
      <c r="D58" s="16"/>
    </row>
    <row r="59" spans="1:4">
      <c r="A59" s="16"/>
      <c r="B59" s="16"/>
      <c r="C59" s="16"/>
      <c r="D59" s="16"/>
    </row>
    <row r="60" spans="1:4">
      <c r="A60" s="16"/>
      <c r="B60" s="16"/>
      <c r="C60" s="16"/>
      <c r="D60" s="16"/>
    </row>
    <row r="61" spans="1:4">
      <c r="A61" s="16"/>
      <c r="B61" s="16"/>
      <c r="C61" s="16"/>
      <c r="D61" s="16"/>
    </row>
    <row r="62" spans="1:4">
      <c r="A62" s="16"/>
      <c r="B62" s="16"/>
      <c r="C62" s="16"/>
      <c r="D62" s="16"/>
    </row>
    <row r="63" spans="1:4">
      <c r="A63" s="16"/>
      <c r="B63" s="16"/>
      <c r="C63" s="16"/>
      <c r="D63" s="16"/>
    </row>
    <row r="64" spans="1:4">
      <c r="A64" s="16"/>
      <c r="B64" s="16"/>
      <c r="C64" s="16"/>
      <c r="D64" s="16"/>
    </row>
    <row r="65" spans="1:4">
      <c r="A65" s="16"/>
      <c r="B65" s="16"/>
      <c r="C65" s="16"/>
      <c r="D65" s="16"/>
    </row>
    <row r="66" spans="1:4">
      <c r="A66" s="16"/>
      <c r="B66" s="16"/>
      <c r="C66" s="16"/>
      <c r="D66" s="16"/>
    </row>
    <row r="67" spans="1:4">
      <c r="A67" s="16"/>
      <c r="B67" s="16"/>
      <c r="C67" s="16"/>
      <c r="D67" s="16"/>
    </row>
    <row r="68" spans="1:4">
      <c r="A68" s="16"/>
      <c r="B68" s="16"/>
      <c r="C68" s="16"/>
      <c r="D68" s="16"/>
    </row>
    <row r="69" spans="1:4">
      <c r="A69" s="16"/>
      <c r="B69" s="16"/>
      <c r="C69" s="16"/>
      <c r="D6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80"/>
  <sheetViews>
    <sheetView showGridLines="0" tabSelected="1" zoomScaleNormal="100" workbookViewId="0">
      <selection activeCell="C3" sqref="C3"/>
    </sheetView>
  </sheetViews>
  <sheetFormatPr defaultColWidth="8.7109375" defaultRowHeight="12.75"/>
  <cols>
    <col min="1" max="1" width="32" customWidth="1"/>
    <col min="2" max="2" width="11" customWidth="1"/>
    <col min="3" max="3" width="14" customWidth="1"/>
    <col min="4" max="4" width="15" customWidth="1"/>
    <col min="5" max="5" width="16" customWidth="1"/>
    <col min="6" max="7" width="10" customWidth="1"/>
    <col min="8" max="9" width="16" customWidth="1"/>
    <col min="10" max="10" width="14" customWidth="1"/>
  </cols>
  <sheetData>
    <row r="1" spans="1:11" ht="18">
      <c r="A1" s="25" t="s">
        <v>430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>
      <c r="A2" s="26" t="s">
        <v>431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5">
      <c r="A4" s="27" t="s">
        <v>432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31.5" customHeight="1">
      <c r="A5" s="28" t="s">
        <v>10</v>
      </c>
      <c r="B5" s="28" t="s">
        <v>370</v>
      </c>
      <c r="C5" s="28" t="s">
        <v>433</v>
      </c>
      <c r="D5" s="28" t="s">
        <v>372</v>
      </c>
      <c r="E5" s="28" t="s">
        <v>371</v>
      </c>
      <c r="F5" s="28" t="s">
        <v>434</v>
      </c>
      <c r="G5" s="28" t="s">
        <v>435</v>
      </c>
      <c r="H5" s="28" t="s">
        <v>389</v>
      </c>
      <c r="I5" s="28" t="s">
        <v>390</v>
      </c>
      <c r="J5" s="28" t="s">
        <v>436</v>
      </c>
      <c r="K5" s="16"/>
    </row>
    <row r="6" spans="1:11">
      <c r="A6" s="29" t="s">
        <v>62</v>
      </c>
      <c r="B6" s="30">
        <f>COUNTIF(Incident_Data!$K$2:$K$181,A6)</f>
        <v>33</v>
      </c>
      <c r="C6" s="31">
        <f>B6/'Core Analysis'!$B$6</f>
        <v>0.18333333333333332</v>
      </c>
      <c r="D6" s="35">
        <f>SUMIF(Incident_Data!$K$2:$K$181,A6,Incident_Data!$I$2:$I$181)</f>
        <v>1932469</v>
      </c>
      <c r="E6" s="35">
        <f>AVERAGEIF(Incident_Data!$K$2:$K$181,A6,Incident_Data!$I$2:$I$181)</f>
        <v>58559.666666666664</v>
      </c>
      <c r="F6" s="30">
        <f>COUNTIFS(Incident_Data!$K$2:$K$181,A6,Incident_Data!$P$2:$P$181,"Yes")</f>
        <v>7</v>
      </c>
      <c r="G6" s="30">
        <f>COUNTIFS(Incident_Data!$K$2:$K$181,A6,Incident_Data!$P$2:$P$181,"No")</f>
        <v>14</v>
      </c>
      <c r="H6" s="31">
        <f t="shared" ref="H6:H17" si="0">F6/B6</f>
        <v>0.21212121212121213</v>
      </c>
      <c r="I6" s="31">
        <f t="shared" ref="I6:I16" si="1">IF(F6+G6=0,0,F6/(F6+G6))</f>
        <v>0.33333333333333331</v>
      </c>
      <c r="J6" s="49">
        <f>AVERAGEIF(Incident_Data!$K$2:$K$181,A6,Incident_Data!$H$2:$H$181)</f>
        <v>14.212121212121213</v>
      </c>
      <c r="K6" s="16"/>
    </row>
    <row r="7" spans="1:11">
      <c r="A7" s="29" t="s">
        <v>23</v>
      </c>
      <c r="B7" s="30">
        <f>COUNTIF(Incident_Data!$K$2:$K$181,A7)</f>
        <v>28</v>
      </c>
      <c r="C7" s="31">
        <f>B7/'Core Analysis'!$B$6</f>
        <v>0.15555555555555556</v>
      </c>
      <c r="D7" s="35">
        <f>SUMIF(Incident_Data!$K$2:$K$181,A7,Incident_Data!$I$2:$I$181)</f>
        <v>1528133</v>
      </c>
      <c r="E7" s="35">
        <f>AVERAGEIF(Incident_Data!$K$2:$K$181,A7,Incident_Data!$I$2:$I$181)</f>
        <v>54576.178571428572</v>
      </c>
      <c r="F7" s="30">
        <f>COUNTIFS(Incident_Data!$K$2:$K$181,A7,Incident_Data!$P$2:$P$181,"Yes")</f>
        <v>9</v>
      </c>
      <c r="G7" s="30">
        <f>COUNTIFS(Incident_Data!$K$2:$K$181,A7,Incident_Data!$P$2:$P$181,"No")</f>
        <v>8</v>
      </c>
      <c r="H7" s="31">
        <f t="shared" si="0"/>
        <v>0.32142857142857145</v>
      </c>
      <c r="I7" s="31">
        <f t="shared" si="1"/>
        <v>0.52941176470588236</v>
      </c>
      <c r="J7" s="49">
        <f>AVERAGEIF(Incident_Data!$K$2:$K$181,A7,Incident_Data!$H$2:$H$181)</f>
        <v>16.071428571428573</v>
      </c>
      <c r="K7" s="16"/>
    </row>
    <row r="8" spans="1:11">
      <c r="A8" s="29" t="s">
        <v>57</v>
      </c>
      <c r="B8" s="30">
        <f>COUNTIF(Incident_Data!$K$2:$K$181,A8)</f>
        <v>28</v>
      </c>
      <c r="C8" s="31">
        <f>B8/'Core Analysis'!$B$6</f>
        <v>0.15555555555555556</v>
      </c>
      <c r="D8" s="35">
        <f>SUMIF(Incident_Data!$K$2:$K$181,A8,Incident_Data!$I$2:$I$181)</f>
        <v>1065731</v>
      </c>
      <c r="E8" s="35">
        <f>AVERAGEIF(Incident_Data!$K$2:$K$181,A8,Incident_Data!$I$2:$I$181)</f>
        <v>38061.821428571428</v>
      </c>
      <c r="F8" s="30">
        <f>COUNTIFS(Incident_Data!$K$2:$K$181,A8,Incident_Data!$P$2:$P$181,"Yes")</f>
        <v>9</v>
      </c>
      <c r="G8" s="30">
        <f>COUNTIFS(Incident_Data!$K$2:$K$181,A8,Incident_Data!$P$2:$P$181,"No")</f>
        <v>10</v>
      </c>
      <c r="H8" s="31">
        <f t="shared" si="0"/>
        <v>0.32142857142857145</v>
      </c>
      <c r="I8" s="31">
        <f t="shared" si="1"/>
        <v>0.47368421052631576</v>
      </c>
      <c r="J8" s="49">
        <f>AVERAGEIF(Incident_Data!$K$2:$K$181,A8,Incident_Data!$H$2:$H$181)</f>
        <v>12.642857142857142</v>
      </c>
      <c r="K8" s="16"/>
    </row>
    <row r="9" spans="1:11">
      <c r="A9" s="29" t="s">
        <v>70</v>
      </c>
      <c r="B9" s="30">
        <f>COUNTIF(Incident_Data!$K$2:$K$181,A9)</f>
        <v>27</v>
      </c>
      <c r="C9" s="31">
        <f>B9/'Core Analysis'!$B$6</f>
        <v>0.15</v>
      </c>
      <c r="D9" s="35">
        <f>SUMIF(Incident_Data!$K$2:$K$181,A9,Incident_Data!$I$2:$I$181)</f>
        <v>1452637</v>
      </c>
      <c r="E9" s="35">
        <f>AVERAGEIF(Incident_Data!$K$2:$K$181,A9,Incident_Data!$I$2:$I$181)</f>
        <v>53801.370370370372</v>
      </c>
      <c r="F9" s="30">
        <f>COUNTIFS(Incident_Data!$K$2:$K$181,A9,Incident_Data!$P$2:$P$181,"Yes")</f>
        <v>9</v>
      </c>
      <c r="G9" s="30">
        <f>COUNTIFS(Incident_Data!$K$2:$K$181,A9,Incident_Data!$P$2:$P$181,"No")</f>
        <v>7</v>
      </c>
      <c r="H9" s="31">
        <f t="shared" si="0"/>
        <v>0.33333333333333331</v>
      </c>
      <c r="I9" s="31">
        <f t="shared" si="1"/>
        <v>0.5625</v>
      </c>
      <c r="J9" s="49">
        <f>AVERAGEIF(Incident_Data!$K$2:$K$181,A9,Incident_Data!$H$2:$H$181)</f>
        <v>14.74074074074074</v>
      </c>
      <c r="K9" s="16"/>
    </row>
    <row r="10" spans="1:11">
      <c r="A10" s="29" t="s">
        <v>34</v>
      </c>
      <c r="B10" s="30">
        <f>COUNTIF(Incident_Data!$K$2:$K$181,A10)</f>
        <v>19</v>
      </c>
      <c r="C10" s="31">
        <f>B10/'Core Analysis'!$B$6</f>
        <v>0.10555555555555556</v>
      </c>
      <c r="D10" s="35">
        <f>SUMIF(Incident_Data!$K$2:$K$181,A10,Incident_Data!$I$2:$I$181)</f>
        <v>880043</v>
      </c>
      <c r="E10" s="35">
        <f>AVERAGEIF(Incident_Data!$K$2:$K$181,A10,Incident_Data!$I$2:$I$181)</f>
        <v>46318.052631578947</v>
      </c>
      <c r="F10" s="30">
        <f>COUNTIFS(Incident_Data!$K$2:$K$181,A10,Incident_Data!$P$2:$P$181,"Yes")</f>
        <v>9</v>
      </c>
      <c r="G10" s="30">
        <f>COUNTIFS(Incident_Data!$K$2:$K$181,A10,Incident_Data!$P$2:$P$181,"No")</f>
        <v>4</v>
      </c>
      <c r="H10" s="31">
        <f t="shared" si="0"/>
        <v>0.47368421052631576</v>
      </c>
      <c r="I10" s="31">
        <f t="shared" si="1"/>
        <v>0.69230769230769229</v>
      </c>
      <c r="J10" s="49">
        <f>AVERAGEIF(Incident_Data!$K$2:$K$181,A10,Incident_Data!$H$2:$H$181)</f>
        <v>16.368421052631579</v>
      </c>
      <c r="K10" s="16"/>
    </row>
    <row r="11" spans="1:11">
      <c r="A11" s="29" t="s">
        <v>48</v>
      </c>
      <c r="B11" s="30">
        <f>COUNTIF(Incident_Data!$K$2:$K$181,A11)</f>
        <v>19</v>
      </c>
      <c r="C11" s="31">
        <f>B11/'Core Analysis'!$B$6</f>
        <v>0.10555555555555556</v>
      </c>
      <c r="D11" s="35">
        <f>SUMIF(Incident_Data!$K$2:$K$181,A11,Incident_Data!$I$2:$I$181)</f>
        <v>1061329</v>
      </c>
      <c r="E11" s="35">
        <f>AVERAGEIF(Incident_Data!$K$2:$K$181,A11,Incident_Data!$I$2:$I$181)</f>
        <v>55859.42105263158</v>
      </c>
      <c r="F11" s="30">
        <f>COUNTIFS(Incident_Data!$K$2:$K$181,A11,Incident_Data!$P$2:$P$181,"Yes")</f>
        <v>3</v>
      </c>
      <c r="G11" s="30">
        <f>COUNTIFS(Incident_Data!$K$2:$K$181,A11,Incident_Data!$P$2:$P$181,"No")</f>
        <v>6</v>
      </c>
      <c r="H11" s="31">
        <f t="shared" si="0"/>
        <v>0.15789473684210525</v>
      </c>
      <c r="I11" s="31">
        <f t="shared" si="1"/>
        <v>0.33333333333333331</v>
      </c>
      <c r="J11" s="49">
        <f>AVERAGEIF(Incident_Data!$K$2:$K$181,A11,Incident_Data!$H$2:$H$181)</f>
        <v>14.052631578947368</v>
      </c>
      <c r="K11" s="16"/>
    </row>
    <row r="12" spans="1:11">
      <c r="A12" s="29" t="s">
        <v>226</v>
      </c>
      <c r="B12" s="30">
        <f>COUNTIF(Incident_Data!$K$2:$K$181,A12)</f>
        <v>11</v>
      </c>
      <c r="C12" s="31">
        <f>B12/'Core Analysis'!$B$6</f>
        <v>6.1111111111111109E-2</v>
      </c>
      <c r="D12" s="35">
        <f>SUMIF(Incident_Data!$K$2:$K$181,A12,Incident_Data!$I$2:$I$181)</f>
        <v>1043310</v>
      </c>
      <c r="E12" s="35">
        <f>AVERAGEIF(Incident_Data!$K$2:$K$181,A12,Incident_Data!$I$2:$I$181)</f>
        <v>94846.363636363632</v>
      </c>
      <c r="F12" s="30">
        <f>COUNTIFS(Incident_Data!$K$2:$K$181,A12,Incident_Data!$P$2:$P$181,"Yes")</f>
        <v>5</v>
      </c>
      <c r="G12" s="30">
        <f>COUNTIFS(Incident_Data!$K$2:$K$181,A12,Incident_Data!$P$2:$P$181,"No")</f>
        <v>5</v>
      </c>
      <c r="H12" s="31">
        <f t="shared" si="0"/>
        <v>0.45454545454545453</v>
      </c>
      <c r="I12" s="31">
        <f t="shared" si="1"/>
        <v>0.5</v>
      </c>
      <c r="J12" s="49">
        <f>AVERAGEIF(Incident_Data!$K$2:$K$181,A12,Incident_Data!$H$2:$H$181)</f>
        <v>13.454545454545455</v>
      </c>
      <c r="K12" s="16"/>
    </row>
    <row r="13" spans="1:11">
      <c r="A13" s="29" t="s">
        <v>187</v>
      </c>
      <c r="B13" s="30">
        <f>COUNTIF(Incident_Data!$K$2:$K$181,A13)</f>
        <v>6</v>
      </c>
      <c r="C13" s="31">
        <f>B13/'Core Analysis'!$B$6</f>
        <v>3.3333333333333333E-2</v>
      </c>
      <c r="D13" s="35">
        <f>SUMIF(Incident_Data!$K$2:$K$181,A13,Incident_Data!$I$2:$I$181)</f>
        <v>557330</v>
      </c>
      <c r="E13" s="35">
        <f>AVERAGEIF(Incident_Data!$K$2:$K$181,A13,Incident_Data!$I$2:$I$181)</f>
        <v>92888.333333333328</v>
      </c>
      <c r="F13" s="30">
        <f>COUNTIFS(Incident_Data!$K$2:$K$181,A13,Incident_Data!$P$2:$P$181,"Yes")</f>
        <v>1</v>
      </c>
      <c r="G13" s="30">
        <f>COUNTIFS(Incident_Data!$K$2:$K$181,A13,Incident_Data!$P$2:$P$181,"No")</f>
        <v>5</v>
      </c>
      <c r="H13" s="31">
        <f t="shared" si="0"/>
        <v>0.16666666666666666</v>
      </c>
      <c r="I13" s="31">
        <f t="shared" si="1"/>
        <v>0.16666666666666666</v>
      </c>
      <c r="J13" s="49">
        <f>AVERAGEIF(Incident_Data!$K$2:$K$181,A13,Incident_Data!$H$2:$H$181)</f>
        <v>12.5</v>
      </c>
      <c r="K13" s="16"/>
    </row>
    <row r="14" spans="1:11">
      <c r="A14" s="29" t="s">
        <v>196</v>
      </c>
      <c r="B14" s="30">
        <f>COUNTIF(Incident_Data!$K$2:$K$181,A14)</f>
        <v>5</v>
      </c>
      <c r="C14" s="31">
        <f>B14/'Core Analysis'!$B$6</f>
        <v>2.7777777777777776E-2</v>
      </c>
      <c r="D14" s="35">
        <f>SUMIF(Incident_Data!$K$2:$K$181,A14,Incident_Data!$I$2:$I$181)</f>
        <v>692530</v>
      </c>
      <c r="E14" s="35">
        <f>AVERAGEIF(Incident_Data!$K$2:$K$181,A14,Incident_Data!$I$2:$I$181)</f>
        <v>138506</v>
      </c>
      <c r="F14" s="30">
        <f>COUNTIFS(Incident_Data!$K$2:$K$181,A14,Incident_Data!$P$2:$P$181,"Yes")</f>
        <v>1</v>
      </c>
      <c r="G14" s="30">
        <f>COUNTIFS(Incident_Data!$K$2:$K$181,A14,Incident_Data!$P$2:$P$181,"No")</f>
        <v>2</v>
      </c>
      <c r="H14" s="31">
        <f t="shared" si="0"/>
        <v>0.2</v>
      </c>
      <c r="I14" s="31">
        <f t="shared" si="1"/>
        <v>0.33333333333333331</v>
      </c>
      <c r="J14" s="49">
        <f>AVERAGEIF(Incident_Data!$K$2:$K$181,A14,Incident_Data!$H$2:$H$181)</f>
        <v>5.2</v>
      </c>
      <c r="K14" s="16"/>
    </row>
    <row r="15" spans="1:11">
      <c r="A15" s="29" t="s">
        <v>181</v>
      </c>
      <c r="B15" s="30">
        <f>COUNTIF(Incident_Data!$K$2:$K$181,A15)</f>
        <v>3</v>
      </c>
      <c r="C15" s="31">
        <f>B15/'Core Analysis'!$B$6</f>
        <v>1.6666666666666666E-2</v>
      </c>
      <c r="D15" s="35">
        <f>SUMIF(Incident_Data!$K$2:$K$181,A15,Incident_Data!$I$2:$I$181)</f>
        <v>62510</v>
      </c>
      <c r="E15" s="35">
        <f>AVERAGEIF(Incident_Data!$K$2:$K$181,A15,Incident_Data!$I$2:$I$181)</f>
        <v>20836.666666666668</v>
      </c>
      <c r="F15" s="30">
        <f>COUNTIFS(Incident_Data!$K$2:$K$181,A15,Incident_Data!$P$2:$P$181,"Yes")</f>
        <v>0</v>
      </c>
      <c r="G15" s="30">
        <f>COUNTIFS(Incident_Data!$K$2:$K$181,A15,Incident_Data!$P$2:$P$181,"No")</f>
        <v>2</v>
      </c>
      <c r="H15" s="31">
        <f t="shared" si="0"/>
        <v>0</v>
      </c>
      <c r="I15" s="31">
        <f t="shared" si="1"/>
        <v>0</v>
      </c>
      <c r="J15" s="49">
        <f>AVERAGEIF(Incident_Data!$K$2:$K$181,A15,Incident_Data!$H$2:$H$181)</f>
        <v>10.666666666666666</v>
      </c>
      <c r="K15" s="16"/>
    </row>
    <row r="16" spans="1:11">
      <c r="A16" s="29" t="s">
        <v>270</v>
      </c>
      <c r="B16" s="30">
        <f>COUNTIF(Incident_Data!$K$2:$K$181,A16)</f>
        <v>1</v>
      </c>
      <c r="C16" s="31">
        <f>B16/'Core Analysis'!$B$6</f>
        <v>5.5555555555555558E-3</v>
      </c>
      <c r="D16" s="35">
        <f>SUMIF(Incident_Data!$K$2:$K$181,A16,Incident_Data!$I$2:$I$181)</f>
        <v>17400</v>
      </c>
      <c r="E16" s="35">
        <f>AVERAGEIF(Incident_Data!$K$2:$K$181,A16,Incident_Data!$I$2:$I$181)</f>
        <v>17400</v>
      </c>
      <c r="F16" s="30">
        <f>COUNTIFS(Incident_Data!$K$2:$K$181,A16,Incident_Data!$P$2:$P$181,"Yes")</f>
        <v>1</v>
      </c>
      <c r="G16" s="30">
        <f>COUNTIFS(Incident_Data!$K$2:$K$181,A16,Incident_Data!$P$2:$P$181,"No")</f>
        <v>0</v>
      </c>
      <c r="H16" s="31">
        <f t="shared" si="0"/>
        <v>1</v>
      </c>
      <c r="I16" s="31">
        <f t="shared" si="1"/>
        <v>1</v>
      </c>
      <c r="J16" s="49">
        <f>AVERAGEIF(Incident_Data!$K$2:$K$181,A16,Incident_Data!$H$2:$H$181)</f>
        <v>9</v>
      </c>
      <c r="K16" s="16"/>
    </row>
    <row r="17" spans="1:11">
      <c r="A17" s="32" t="s">
        <v>368</v>
      </c>
      <c r="B17" s="33">
        <f>SUM(B6:B16)</f>
        <v>180</v>
      </c>
      <c r="C17" s="34">
        <f>SUM(C6:C16)</f>
        <v>1</v>
      </c>
      <c r="D17" s="36">
        <f>SUM(D6:D16)</f>
        <v>10293422</v>
      </c>
      <c r="E17" s="36">
        <f>D17/B17</f>
        <v>57185.677777777775</v>
      </c>
      <c r="F17" s="33">
        <f>SUM(F6:F16)</f>
        <v>54</v>
      </c>
      <c r="G17" s="33">
        <f>SUM(G6:G16)</f>
        <v>63</v>
      </c>
      <c r="H17" s="34">
        <f t="shared" si="0"/>
        <v>0.3</v>
      </c>
      <c r="I17" s="34">
        <f>F17/(F17+G17)</f>
        <v>0.46153846153846156</v>
      </c>
      <c r="J17" s="51">
        <f>AVERAGE(Incident_Data!$H$2:$H$181)</f>
        <v>14.105555555555556</v>
      </c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5">
      <c r="A19" s="27" t="s">
        <v>437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31.5" customHeight="1">
      <c r="A20" s="28" t="s">
        <v>9</v>
      </c>
      <c r="B20" s="28" t="s">
        <v>370</v>
      </c>
      <c r="C20" s="28" t="s">
        <v>438</v>
      </c>
      <c r="D20" s="16"/>
      <c r="E20" s="16"/>
      <c r="F20" s="16"/>
      <c r="G20" s="16"/>
      <c r="H20" s="16"/>
      <c r="I20" s="16"/>
      <c r="J20" s="16"/>
      <c r="K20" s="16"/>
    </row>
    <row r="21" spans="1:11">
      <c r="A21" s="29" t="s">
        <v>61</v>
      </c>
      <c r="B21" s="30">
        <f>COUNTIFS(Incident_Data!$K$2:$K$181,"Identity &amp; Access Management",Incident_Data!$J$2:$J$181,A21)</f>
        <v>9</v>
      </c>
      <c r="C21" s="31">
        <f t="shared" ref="C21:C26" si="2">B21/$B$6</f>
        <v>0.27272727272727271</v>
      </c>
      <c r="D21" s="16"/>
      <c r="E21" s="16"/>
      <c r="F21" s="16"/>
      <c r="G21" s="16"/>
      <c r="H21" s="16"/>
      <c r="I21" s="16"/>
      <c r="J21" s="16"/>
      <c r="K21" s="16"/>
    </row>
    <row r="22" spans="1:11">
      <c r="A22" s="29" t="s">
        <v>103</v>
      </c>
      <c r="B22" s="30">
        <f>COUNTIFS(Incident_Data!$K$2:$K$181,"Identity &amp; Access Management",Incident_Data!$J$2:$J$181,A22)</f>
        <v>8</v>
      </c>
      <c r="C22" s="31">
        <f t="shared" si="2"/>
        <v>0.24242424242424243</v>
      </c>
      <c r="D22" s="16"/>
      <c r="E22" s="16"/>
      <c r="F22" s="16"/>
      <c r="G22" s="16"/>
      <c r="H22" s="16"/>
      <c r="I22" s="16"/>
      <c r="J22" s="16"/>
      <c r="K22" s="16"/>
    </row>
    <row r="23" spans="1:11">
      <c r="A23" s="29" t="s">
        <v>77</v>
      </c>
      <c r="B23" s="30">
        <f>COUNTIFS(Incident_Data!$K$2:$K$181,"Identity &amp; Access Management",Incident_Data!$J$2:$J$181,A23)</f>
        <v>7</v>
      </c>
      <c r="C23" s="31">
        <f t="shared" si="2"/>
        <v>0.21212121212121213</v>
      </c>
      <c r="D23" s="16"/>
      <c r="E23" s="16"/>
      <c r="F23" s="16"/>
      <c r="G23" s="16"/>
      <c r="H23" s="16"/>
      <c r="I23" s="16"/>
      <c r="J23" s="16"/>
      <c r="K23" s="16"/>
    </row>
    <row r="24" spans="1:11">
      <c r="A24" s="29" t="s">
        <v>55</v>
      </c>
      <c r="B24" s="30">
        <f>COUNTIFS(Incident_Data!$K$2:$K$181,"Identity &amp; Access Management",Incident_Data!$J$2:$J$181,A24)</f>
        <v>5</v>
      </c>
      <c r="C24" s="31">
        <f t="shared" si="2"/>
        <v>0.15151515151515152</v>
      </c>
      <c r="D24" s="16"/>
      <c r="E24" s="16"/>
      <c r="F24" s="16"/>
      <c r="G24" s="16"/>
      <c r="H24" s="16"/>
      <c r="I24" s="16"/>
      <c r="J24" s="16"/>
      <c r="K24" s="16"/>
    </row>
    <row r="25" spans="1:11">
      <c r="A25" s="29" t="s">
        <v>231</v>
      </c>
      <c r="B25" s="30">
        <f>COUNTIFS(Incident_Data!$K$2:$K$181,"Identity &amp; Access Management",Incident_Data!$J$2:$J$181,A25)</f>
        <v>3</v>
      </c>
      <c r="C25" s="31">
        <f t="shared" si="2"/>
        <v>9.0909090909090912E-2</v>
      </c>
      <c r="D25" s="16"/>
      <c r="E25" s="16"/>
      <c r="F25" s="16"/>
      <c r="G25" s="16"/>
      <c r="H25" s="16"/>
      <c r="I25" s="16"/>
      <c r="J25" s="16"/>
      <c r="K25" s="16"/>
    </row>
    <row r="26" spans="1:11">
      <c r="A26" s="29" t="s">
        <v>276</v>
      </c>
      <c r="B26" s="30">
        <f>COUNTIFS(Incident_Data!$K$2:$K$181,"Identity &amp; Access Management",Incident_Data!$J$2:$J$181,A26)</f>
        <v>1</v>
      </c>
      <c r="C26" s="31">
        <f t="shared" si="2"/>
        <v>3.0303030303030304E-2</v>
      </c>
      <c r="D26" s="16"/>
      <c r="E26" s="16"/>
      <c r="F26" s="16"/>
      <c r="G26" s="16"/>
      <c r="H26" s="16"/>
      <c r="I26" s="16"/>
      <c r="J26" s="16"/>
      <c r="K26" s="16"/>
    </row>
    <row r="27" spans="1:11">
      <c r="A27" s="32" t="s">
        <v>368</v>
      </c>
      <c r="B27" s="33">
        <f>SUM(B21:B26)</f>
        <v>33</v>
      </c>
      <c r="C27" s="34">
        <f>SUM(C21:C26)</f>
        <v>1</v>
      </c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"/>
  <sheetViews>
    <sheetView showGridLines="0" zoomScaleNormal="100" workbookViewId="0">
      <selection sqref="A1:I30"/>
    </sheetView>
  </sheetViews>
  <sheetFormatPr defaultColWidth="8.7109375" defaultRowHeight="12.75"/>
  <cols>
    <col min="1" max="1" width="8" customWidth="1"/>
    <col min="2" max="2" width="34" customWidth="1"/>
    <col min="3" max="3" width="44" customWidth="1"/>
    <col min="4" max="4" width="38" customWidth="1"/>
    <col min="5" max="5" width="32" customWidth="1"/>
    <col min="6" max="6" width="40" customWidth="1"/>
    <col min="7" max="7" width="20" customWidth="1"/>
    <col min="8" max="8" width="38" customWidth="1"/>
  </cols>
  <sheetData>
    <row r="1" spans="1:9" ht="18">
      <c r="A1" s="25" t="s">
        <v>439</v>
      </c>
      <c r="B1" s="16"/>
      <c r="C1" s="16"/>
      <c r="D1" s="16"/>
      <c r="E1" s="16"/>
      <c r="F1" s="16"/>
      <c r="G1" s="16"/>
      <c r="H1" s="16"/>
      <c r="I1" s="16"/>
    </row>
    <row r="2" spans="1:9">
      <c r="A2" s="26" t="s">
        <v>440</v>
      </c>
      <c r="B2" s="16"/>
      <c r="C2" s="16"/>
      <c r="D2" s="16"/>
      <c r="E2" s="16"/>
      <c r="F2" s="16"/>
      <c r="G2" s="16"/>
      <c r="H2" s="16"/>
      <c r="I2" s="16"/>
    </row>
    <row r="3" spans="1:9">
      <c r="A3" s="16"/>
      <c r="B3" s="16"/>
      <c r="C3" s="16"/>
      <c r="D3" s="16"/>
      <c r="E3" s="16"/>
      <c r="F3" s="16"/>
      <c r="G3" s="16"/>
      <c r="H3" s="16"/>
      <c r="I3" s="16"/>
    </row>
    <row r="4" spans="1:9">
      <c r="A4" s="28" t="s">
        <v>441</v>
      </c>
      <c r="B4" s="28" t="s">
        <v>442</v>
      </c>
      <c r="C4" s="28" t="s">
        <v>443</v>
      </c>
      <c r="D4" s="28" t="s">
        <v>444</v>
      </c>
      <c r="E4" s="28" t="s">
        <v>445</v>
      </c>
      <c r="F4" s="28" t="s">
        <v>446</v>
      </c>
      <c r="G4" s="28" t="s">
        <v>447</v>
      </c>
      <c r="H4" s="28" t="s">
        <v>448</v>
      </c>
      <c r="I4" s="16"/>
    </row>
    <row r="5" spans="1:9" ht="150" customHeight="1">
      <c r="A5" s="52">
        <v>1</v>
      </c>
      <c r="B5" s="52" t="s">
        <v>449</v>
      </c>
      <c r="C5" s="52" t="str">
        <f>"Critical: "&amp;SLA_Analysis!D6&amp;" of "&amp;SLA_Analysis!E6&amp;" breached ("&amp;TEXT(SLA_Analysis!F6,"0.00%")&amp;"). High: "&amp;SLA_Analysis!D7&amp;" of "&amp;SLA_Analysis!E7&amp;" ("&amp;TEXT(SLA_Analysis!F7,"0.00%")&amp;"). Critical avg resolution "&amp;TEXT('Core Analysis'!C54,"0.00")&amp;" days vs a "&amp;'Core Analysis'!E54&amp;"-day SLA. See Chart 6."</f>
        <v>Critical: 12 of 20 breached (60.00%). High: 25 of 53 (47.17%). Critical avg resolution 9.80 days vs a 3-day SLA. See Chart 6.</v>
      </c>
      <c r="D5" s="52" t="s">
        <v>450</v>
      </c>
      <c r="E5" s="52" t="s">
        <v>451</v>
      </c>
      <c r="F5" s="52" t="s">
        <v>452</v>
      </c>
      <c r="G5" s="52" t="s">
        <v>453</v>
      </c>
      <c r="H5" s="52" t="s">
        <v>454</v>
      </c>
      <c r="I5" s="16"/>
    </row>
    <row r="6" spans="1:9" ht="150" customHeight="1">
      <c r="A6" s="52">
        <v>2</v>
      </c>
      <c r="B6" s="52" t="s">
        <v>455</v>
      </c>
      <c r="C6" s="52" t="str">
        <f>'Core Analysis'!B33&amp;" incidents ("&amp;TEXT('Core Analysis'!B33/'Core Analysis'!B6,"0.00%")&amp;" of all) with average cost "&amp;TEXT('Core Analysis'!C33,"$#,##0")&amp;"; total "&amp;TEXT('Core Analysis'!D33,"$#,##0")&amp;". See Chart 4."</f>
        <v>5 incidents (2.78% of all) with average cost $138,506; total $692,530. See Chart 4.</v>
      </c>
      <c r="D6" s="52" t="s">
        <v>456</v>
      </c>
      <c r="E6" s="52" t="s">
        <v>457</v>
      </c>
      <c r="F6" s="52" t="s">
        <v>458</v>
      </c>
      <c r="G6" s="52" t="s">
        <v>459</v>
      </c>
      <c r="H6" s="52" t="s">
        <v>460</v>
      </c>
      <c r="I6" s="16"/>
    </row>
    <row r="7" spans="1:9" ht="150" customHeight="1">
      <c r="A7" s="52">
        <v>3</v>
      </c>
      <c r="B7" s="52" t="s">
        <v>461</v>
      </c>
      <c r="C7" s="52" t="str">
        <f>"IAM: "&amp;Control_Domain!B6&amp;" incidents ("&amp;TEXT(Control_Domain!C6,"0.0%")&amp;" of all). Top root causes: "&amp;Control_Domain!A21&amp;" ("&amp;Control_Domain!B21&amp;"), "&amp;Control_Domain!A22&amp;" ("&amp;Control_Domain!B22&amp;"), "&amp;Control_Domain!A23&amp;" ("&amp;Control_Domain!B23&amp;"). See Chart 7."</f>
        <v>IAM: 33 incidents (18.3% of all). Top root causes: Excessive privileges (9), Compromised credentials (8), Dormant account misuse (7). See Chart 7.</v>
      </c>
      <c r="D7" s="52" t="s">
        <v>462</v>
      </c>
      <c r="E7" s="52" t="s">
        <v>463</v>
      </c>
      <c r="F7" s="52" t="s">
        <v>464</v>
      </c>
      <c r="G7" s="52" t="s">
        <v>465</v>
      </c>
      <c r="H7" s="52" t="s">
        <v>466</v>
      </c>
      <c r="I7" s="16"/>
    </row>
    <row r="8" spans="1:9">
      <c r="A8" s="16"/>
      <c r="B8" s="16"/>
      <c r="C8" s="16"/>
      <c r="D8" s="16"/>
      <c r="E8" s="16"/>
      <c r="F8" s="16"/>
      <c r="G8" s="16"/>
      <c r="H8" s="16"/>
      <c r="I8" s="16"/>
    </row>
    <row r="9" spans="1:9">
      <c r="A9" s="16"/>
      <c r="B9" s="16"/>
      <c r="C9" s="16"/>
      <c r="D9" s="16"/>
      <c r="E9" s="16"/>
      <c r="F9" s="16"/>
      <c r="G9" s="16"/>
      <c r="H9" s="16"/>
      <c r="I9" s="16"/>
    </row>
    <row r="10" spans="1:9">
      <c r="A10" s="16"/>
      <c r="B10" s="16"/>
      <c r="C10" s="16"/>
      <c r="D10" s="16"/>
      <c r="E10" s="16"/>
      <c r="F10" s="16"/>
      <c r="G10" s="16"/>
      <c r="H10" s="16"/>
      <c r="I10" s="16"/>
    </row>
    <row r="11" spans="1:9">
      <c r="A11" s="16"/>
      <c r="B11" s="16"/>
      <c r="C11" s="16"/>
      <c r="D11" s="16"/>
      <c r="E11" s="16"/>
      <c r="F11" s="16"/>
      <c r="G11" s="16"/>
      <c r="H11" s="16"/>
      <c r="I11" s="16"/>
    </row>
    <row r="12" spans="1:9">
      <c r="A12" s="16"/>
      <c r="B12" s="16"/>
      <c r="C12" s="16"/>
      <c r="D12" s="16"/>
      <c r="E12" s="16"/>
      <c r="F12" s="16"/>
      <c r="G12" s="16"/>
      <c r="H12" s="16"/>
      <c r="I12" s="16"/>
    </row>
    <row r="13" spans="1:9">
      <c r="A13" s="16"/>
      <c r="B13" s="16"/>
      <c r="C13" s="16"/>
      <c r="D13" s="16"/>
      <c r="E13" s="16"/>
      <c r="F13" s="16"/>
      <c r="G13" s="16"/>
      <c r="H13" s="16"/>
      <c r="I13" s="16"/>
    </row>
    <row r="14" spans="1:9">
      <c r="A14" s="16"/>
      <c r="B14" s="16"/>
      <c r="C14" s="16"/>
      <c r="D14" s="16"/>
      <c r="E14" s="16"/>
      <c r="F14" s="16"/>
      <c r="G14" s="16"/>
      <c r="H14" s="16"/>
      <c r="I14" s="16"/>
    </row>
    <row r="15" spans="1:9">
      <c r="A15" s="16"/>
      <c r="B15" s="16"/>
      <c r="C15" s="16"/>
      <c r="D15" s="16"/>
      <c r="E15" s="16"/>
      <c r="F15" s="16"/>
      <c r="G15" s="16"/>
      <c r="H15" s="16"/>
      <c r="I15" s="16"/>
    </row>
    <row r="16" spans="1:9">
      <c r="A16" s="16"/>
      <c r="B16" s="16"/>
      <c r="C16" s="16"/>
      <c r="D16" s="16"/>
      <c r="E16" s="16"/>
      <c r="F16" s="16"/>
      <c r="G16" s="16"/>
      <c r="H16" s="16"/>
      <c r="I16" s="16"/>
    </row>
    <row r="17" spans="1:9">
      <c r="A17" s="16"/>
      <c r="B17" s="16"/>
      <c r="C17" s="16"/>
      <c r="D17" s="16"/>
      <c r="E17" s="16"/>
      <c r="F17" s="16"/>
      <c r="G17" s="16"/>
      <c r="H17" s="16"/>
      <c r="I17" s="16"/>
    </row>
    <row r="18" spans="1:9">
      <c r="A18" s="16"/>
      <c r="B18" s="16"/>
      <c r="C18" s="16"/>
      <c r="D18" s="16"/>
      <c r="E18" s="16"/>
      <c r="F18" s="16"/>
      <c r="G18" s="16"/>
      <c r="H18" s="16"/>
      <c r="I18" s="16"/>
    </row>
    <row r="19" spans="1:9">
      <c r="A19" s="16"/>
      <c r="B19" s="16"/>
      <c r="C19" s="16"/>
      <c r="D19" s="16"/>
      <c r="E19" s="16"/>
      <c r="F19" s="16"/>
      <c r="G19" s="16"/>
      <c r="H19" s="16"/>
      <c r="I19" s="16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6"/>
      <c r="B23" s="16"/>
      <c r="C23" s="16"/>
      <c r="D23" s="16"/>
      <c r="E23" s="16"/>
      <c r="F23" s="16"/>
      <c r="G23" s="16"/>
      <c r="H23" s="16"/>
      <c r="I23" s="16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>
      <c r="A27" s="16"/>
      <c r="B27" s="16"/>
      <c r="C27" s="16"/>
      <c r="D27" s="16"/>
      <c r="E27" s="16"/>
      <c r="F27" s="16"/>
      <c r="G27" s="16"/>
      <c r="H27" s="16"/>
      <c r="I27" s="16"/>
    </row>
    <row r="28" spans="1:9">
      <c r="A28" s="16"/>
      <c r="B28" s="16"/>
      <c r="C28" s="16"/>
      <c r="D28" s="16"/>
      <c r="E28" s="16"/>
      <c r="F28" s="16"/>
      <c r="G28" s="16"/>
      <c r="H28" s="16"/>
      <c r="I28" s="16"/>
    </row>
    <row r="29" spans="1:9">
      <c r="A29" s="16"/>
      <c r="B29" s="16"/>
      <c r="C29" s="16"/>
      <c r="D29" s="16"/>
      <c r="E29" s="16"/>
      <c r="F29" s="16"/>
      <c r="G29" s="16"/>
      <c r="H29" s="16"/>
      <c r="I29" s="16"/>
    </row>
    <row r="30" spans="1:9">
      <c r="A30" s="16"/>
      <c r="B30" s="16"/>
      <c r="C30" s="16"/>
      <c r="D30" s="16"/>
      <c r="E30" s="16"/>
      <c r="F30" s="16"/>
      <c r="G30" s="16"/>
      <c r="H30" s="16"/>
      <c r="I30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94"/>
  <sheetViews>
    <sheetView showGridLines="0" zoomScaleNormal="100" workbookViewId="0">
      <selection activeCell="I15" sqref="I15"/>
    </sheetView>
  </sheetViews>
  <sheetFormatPr defaultColWidth="8.7109375" defaultRowHeight="12.75"/>
  <cols>
    <col min="1" max="24" width="12" customWidth="1"/>
  </cols>
  <sheetData>
    <row r="1" spans="1:34" ht="18">
      <c r="A1" s="25" t="s">
        <v>467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</row>
    <row r="3" spans="1:34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</row>
    <row r="4" spans="1:3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</row>
    <row r="5" spans="1:34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</row>
    <row r="6" spans="1:34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7" spans="1:3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</row>
    <row r="8" spans="1:34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</row>
    <row r="9" spans="1:34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</row>
    <row r="11" spans="1:34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</row>
    <row r="12" spans="1:34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</row>
    <row r="13" spans="1:34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</row>
    <row r="14" spans="1:3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</row>
    <row r="15" spans="1:34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</row>
    <row r="16" spans="1:34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</row>
    <row r="17" spans="1:34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</row>
    <row r="18" spans="1:34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</row>
    <row r="19" spans="1:34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</row>
    <row r="20" spans="1:34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</row>
    <row r="21" spans="1:3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</row>
    <row r="22" spans="1:3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</row>
    <row r="23" spans="1:34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</row>
    <row r="24" spans="1:3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</row>
    <row r="25" spans="1:3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</row>
    <row r="26" spans="1:34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</row>
    <row r="27" spans="1:34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</row>
    <row r="28" spans="1:34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</row>
    <row r="30" spans="1:3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</row>
    <row r="31" spans="1:3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3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</row>
    <row r="33" spans="1:3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</row>
    <row r="34" spans="1: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</row>
    <row r="35" spans="1:3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</row>
    <row r="36" spans="1:3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</row>
    <row r="37" spans="1:3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3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</row>
    <row r="40" spans="1:3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</row>
    <row r="41" spans="1:3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</row>
    <row r="42" spans="1:3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</row>
    <row r="43" spans="1:3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</row>
    <row r="45" spans="1:3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</row>
    <row r="46" spans="1:3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</row>
    <row r="47" spans="1:3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</row>
    <row r="48" spans="1:3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</row>
    <row r="49" spans="1:3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</row>
    <row r="50" spans="1:3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</row>
    <row r="51" spans="1:3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</row>
    <row r="52" spans="1:3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</row>
    <row r="53" spans="1:3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</row>
    <row r="54" spans="1:3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</row>
    <row r="55" spans="1:3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</row>
    <row r="56" spans="1:3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</row>
    <row r="57" spans="1:3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</row>
    <row r="58" spans="1:3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</row>
    <row r="59" spans="1:3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</row>
    <row r="60" spans="1:3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</row>
    <row r="61" spans="1:3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</row>
    <row r="62" spans="1:3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</row>
    <row r="63" spans="1:3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</row>
    <row r="64" spans="1:3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</row>
    <row r="65" spans="1:3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</row>
    <row r="66" spans="1:3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</row>
    <row r="67" spans="1:3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</row>
    <row r="68" spans="1:3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</row>
    <row r="69" spans="1:3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</row>
    <row r="70" spans="1:3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</row>
    <row r="71" spans="1:3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</row>
    <row r="72" spans="1:3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</row>
    <row r="73" spans="1:3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</row>
    <row r="74" spans="1:3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</row>
    <row r="75" spans="1:3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</row>
    <row r="76" spans="1:3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</row>
    <row r="77" spans="1:3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</row>
    <row r="78" spans="1:3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</row>
    <row r="79" spans="1:3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</row>
    <row r="80" spans="1:3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</row>
    <row r="81" spans="1:3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</row>
    <row r="82" spans="1:3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</row>
    <row r="83" spans="1:3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</row>
    <row r="84" spans="1:3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</row>
    <row r="85" spans="1:3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</row>
    <row r="86" spans="1:3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</row>
    <row r="87" spans="1:3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</row>
    <row r="88" spans="1:3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</row>
    <row r="89" spans="1:3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</row>
    <row r="90" spans="1:3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</row>
    <row r="91" spans="1:3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</row>
    <row r="92" spans="1:3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</row>
    <row r="93" spans="1:3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</row>
    <row r="94" spans="1:3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</row>
    <row r="95" spans="1:3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</row>
    <row r="96" spans="1:3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</row>
    <row r="97" spans="1:3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</row>
    <row r="98" spans="1:3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</row>
    <row r="99" spans="1:3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</row>
    <row r="100" spans="1:3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</row>
    <row r="101" spans="1:3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</row>
    <row r="102" spans="1:3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</row>
    <row r="103" spans="1:3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</row>
    <row r="104" spans="1:3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</row>
    <row r="105" spans="1:3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</row>
    <row r="106" spans="1:3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</row>
    <row r="107" spans="1:3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</row>
    <row r="108" spans="1:3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</row>
    <row r="109" spans="1:3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</row>
    <row r="110" spans="1:3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</row>
    <row r="111" spans="1:3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</row>
    <row r="112" spans="1:3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</row>
    <row r="113" spans="1:3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</row>
    <row r="114" spans="1:3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</row>
    <row r="115" spans="1:3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</row>
    <row r="116" spans="1:3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</row>
    <row r="117" spans="1:3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</row>
    <row r="118" spans="1:3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</row>
    <row r="119" spans="1:3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</row>
    <row r="120" spans="1:3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</row>
    <row r="121" spans="1:3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</row>
    <row r="122" spans="1:3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</row>
    <row r="123" spans="1:3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</row>
    <row r="124" spans="1:3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</row>
    <row r="125" spans="1:3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</row>
    <row r="126" spans="1:3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</row>
    <row r="127" spans="1:3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</row>
    <row r="128" spans="1:3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</row>
    <row r="129" spans="1:3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</row>
    <row r="130" spans="1:3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</row>
    <row r="131" spans="1:3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</row>
    <row r="132" spans="1:3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</row>
    <row r="133" spans="1:3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</row>
    <row r="134" spans="1: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</row>
    <row r="135" spans="1:3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</row>
    <row r="136" spans="1:3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</row>
    <row r="137" spans="1:3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</row>
    <row r="138" spans="1:3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</row>
    <row r="139" spans="1:3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</row>
    <row r="140" spans="1:3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</row>
    <row r="141" spans="1:3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</row>
    <row r="142" spans="1:3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</row>
    <row r="143" spans="1:3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</row>
    <row r="144" spans="1:3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</row>
    <row r="145" spans="1:3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</row>
    <row r="146" spans="1:3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</row>
    <row r="147" spans="1:3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</row>
    <row r="149" spans="1:3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</row>
    <row r="150" spans="1:3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</row>
    <row r="151" spans="1:3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</row>
    <row r="152" spans="1:3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</row>
    <row r="153" spans="1:3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</row>
    <row r="154" spans="1:3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</row>
    <row r="155" spans="1:3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</row>
    <row r="156" spans="1:3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</row>
    <row r="157" spans="1:3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</row>
    <row r="158" spans="1:3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</row>
    <row r="160" spans="1:3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</row>
    <row r="161" spans="1:3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</row>
    <row r="162" spans="1:3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</row>
    <row r="163" spans="1:3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</row>
    <row r="164" spans="1:3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</row>
    <row r="165" spans="1:3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</row>
    <row r="166" spans="1:3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</row>
    <row r="167" spans="1:3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</row>
    <row r="168" spans="1:3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</row>
    <row r="169" spans="1:3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</row>
    <row r="170" spans="1:3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</row>
    <row r="171" spans="1:3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</row>
    <row r="172" spans="1:3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</row>
    <row r="173" spans="1:3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</row>
    <row r="174" spans="1:3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</row>
    <row r="175" spans="1:3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</row>
    <row r="176" spans="1:3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</row>
    <row r="177" spans="1:3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</row>
    <row r="178" spans="1:3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</row>
    <row r="179" spans="1:3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</row>
    <row r="180" spans="1:3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</row>
    <row r="181" spans="1:3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</row>
    <row r="182" spans="1:3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</row>
    <row r="183" spans="1:3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</row>
    <row r="184" spans="1:3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</row>
    <row r="185" spans="1:3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</row>
    <row r="186" spans="1:3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</row>
    <row r="187" spans="1:3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</row>
    <row r="188" spans="1:3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</row>
    <row r="189" spans="1:3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</row>
    <row r="190" spans="1:3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</row>
    <row r="191" spans="1:3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</row>
    <row r="192" spans="1:3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</row>
    <row r="193" spans="1:3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</row>
    <row r="194" spans="1:3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Mercy Rachael Ajayi</cp:lastModifiedBy>
  <cp:revision>1</cp:revision>
  <dcterms:created xsi:type="dcterms:W3CDTF">2026-09-24T14:25:58Z</dcterms:created>
  <dcterms:modified xsi:type="dcterms:W3CDTF">2026-09-25T09:34:35Z</dcterms:modified>
  <cp:category/>
  <cp:contentStatus/>
</cp:coreProperties>
</file>